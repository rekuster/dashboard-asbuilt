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STECLA IA\Dashboard-AsBuilt-Custom\Planilhas\"/>
    </mc:Choice>
  </mc:AlternateContent>
  <xr:revisionPtr revIDLastSave="0" documentId="13_ncr:1_{B9342F62-3930-4082-B10C-A01415F89D2D}" xr6:coauthVersionLast="47" xr6:coauthVersionMax="47" xr10:uidLastSave="{00000000-0000-0000-0000-000000000000}"/>
  <bookViews>
    <workbookView xWindow="28680" yWindow="-120" windowWidth="29040" windowHeight="15720" activeTab="3" xr2:uid="{3DD906DE-A918-447F-A6CE-1C9775266E53}"/>
  </bookViews>
  <sheets>
    <sheet name="Mapeamento Salas" sheetId="2" r:id="rId1"/>
    <sheet name="Apontamentos RA Obra" sheetId="1" r:id="rId2"/>
    <sheet name="Mapeamento Salas MODELOS" sheetId="3" r:id="rId3"/>
    <sheet name="Mapeamento Modelos As Built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47" i="5" s="1"/>
  <c r="A64" i="5" s="1"/>
  <c r="A81" i="5" s="1"/>
  <c r="A93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D199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2" i="3"/>
  <c r="E191" i="3"/>
  <c r="E192" i="3" s="1"/>
  <c r="E193" i="3" s="1"/>
  <c r="E194" i="3" s="1"/>
  <c r="E195" i="3" s="1"/>
  <c r="E196" i="3" s="1"/>
  <c r="E197" i="3" s="1"/>
  <c r="E198" i="3" s="1"/>
  <c r="E185" i="3"/>
  <c r="E186" i="3" s="1"/>
  <c r="E187" i="3" s="1"/>
  <c r="E188" i="3" s="1"/>
  <c r="E189" i="3" s="1"/>
  <c r="E180" i="3"/>
  <c r="E181" i="3" s="1"/>
  <c r="E182" i="3" s="1"/>
  <c r="E183" i="3" s="1"/>
  <c r="E171" i="3"/>
  <c r="E172" i="3" s="1"/>
  <c r="E173" i="3" s="1"/>
  <c r="E174" i="3" s="1"/>
  <c r="E175" i="3" s="1"/>
  <c r="E176" i="3" s="1"/>
  <c r="E177" i="3" s="1"/>
  <c r="E178" i="3" s="1"/>
  <c r="E145" i="3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M100" i="2"/>
  <c r="L100" i="2"/>
  <c r="G100" i="2"/>
  <c r="N100" i="2" s="1" a="1"/>
  <c r="N100" i="2" s="1"/>
  <c r="M102" i="2"/>
  <c r="L102" i="2"/>
  <c r="G102" i="2"/>
  <c r="N102" i="2" s="1" a="1"/>
  <c r="N102" i="2" s="1"/>
  <c r="M101" i="2"/>
  <c r="L101" i="2"/>
  <c r="G101" i="2"/>
  <c r="N101" i="2" s="1" a="1"/>
  <c r="N101" i="2" s="1"/>
  <c r="M34" i="2"/>
  <c r="L34" i="2"/>
  <c r="K34" i="2"/>
  <c r="J34" i="2"/>
  <c r="M32" i="2"/>
  <c r="L32" i="2"/>
  <c r="K32" i="2"/>
  <c r="J32" i="2"/>
  <c r="M30" i="2"/>
  <c r="L30" i="2"/>
  <c r="K30" i="2"/>
  <c r="J30" i="2"/>
  <c r="G34" i="2"/>
  <c r="N34" i="2" s="1" a="1"/>
  <c r="N34" i="2" s="1"/>
  <c r="G32" i="2"/>
  <c r="N32" i="2" s="1" a="1"/>
  <c r="N32" i="2" s="1"/>
  <c r="M29" i="2"/>
  <c r="L29" i="2"/>
  <c r="K29" i="2"/>
  <c r="J29" i="2"/>
  <c r="G29" i="2"/>
  <c r="N29" i="2" s="1" a="1"/>
  <c r="N29" i="2" s="1"/>
  <c r="M28" i="2"/>
  <c r="L28" i="2"/>
  <c r="K28" i="2"/>
  <c r="J28" i="2"/>
  <c r="G28" i="2"/>
  <c r="N28" i="2" s="1" a="1"/>
  <c r="N28" i="2" s="1"/>
  <c r="E3" i="2"/>
  <c r="G152" i="2"/>
  <c r="N152" i="2" s="1" a="1"/>
  <c r="N152" i="2" s="1"/>
  <c r="L152" i="2"/>
  <c r="M152" i="2"/>
  <c r="G153" i="2"/>
  <c r="N153" i="2" s="1" a="1"/>
  <c r="N153" i="2" s="1"/>
  <c r="L153" i="2"/>
  <c r="M153" i="2"/>
  <c r="G154" i="2"/>
  <c r="N154" i="2" s="1" a="1"/>
  <c r="N154" i="2" s="1"/>
  <c r="L154" i="2"/>
  <c r="M154" i="2"/>
  <c r="G155" i="2"/>
  <c r="N155" i="2" s="1" a="1"/>
  <c r="N155" i="2" s="1"/>
  <c r="L155" i="2"/>
  <c r="M155" i="2"/>
  <c r="G156" i="2"/>
  <c r="N156" i="2" s="1" a="1"/>
  <c r="N156" i="2" s="1"/>
  <c r="L156" i="2"/>
  <c r="M156" i="2"/>
  <c r="G157" i="2"/>
  <c r="N157" i="2" s="1" a="1"/>
  <c r="N157" i="2" s="1"/>
  <c r="L157" i="2"/>
  <c r="M157" i="2"/>
  <c r="G158" i="2"/>
  <c r="N158" i="2" s="1" a="1"/>
  <c r="N158" i="2" s="1"/>
  <c r="L158" i="2"/>
  <c r="M158" i="2"/>
  <c r="G159" i="2"/>
  <c r="N159" i="2" s="1" a="1"/>
  <c r="N159" i="2" s="1"/>
  <c r="L159" i="2"/>
  <c r="M159" i="2"/>
  <c r="G160" i="2"/>
  <c r="N160" i="2" s="1" a="1"/>
  <c r="N160" i="2" s="1"/>
  <c r="L160" i="2"/>
  <c r="M160" i="2"/>
  <c r="G161" i="2"/>
  <c r="N161" i="2" s="1" a="1"/>
  <c r="N161" i="2" s="1"/>
  <c r="L161" i="2"/>
  <c r="M161" i="2"/>
  <c r="G162" i="2"/>
  <c r="N162" i="2" s="1" a="1"/>
  <c r="N162" i="2" s="1"/>
  <c r="L162" i="2"/>
  <c r="M162" i="2"/>
  <c r="G163" i="2"/>
  <c r="N163" i="2" s="1" a="1"/>
  <c r="N163" i="2" s="1"/>
  <c r="L163" i="2"/>
  <c r="M163" i="2"/>
  <c r="G164" i="2"/>
  <c r="N164" i="2" s="1" a="1"/>
  <c r="N164" i="2" s="1"/>
  <c r="L164" i="2"/>
  <c r="M164" i="2"/>
  <c r="G165" i="2"/>
  <c r="N165" i="2" s="1" a="1"/>
  <c r="N165" i="2" s="1"/>
  <c r="L165" i="2"/>
  <c r="M165" i="2"/>
  <c r="G166" i="2"/>
  <c r="N166" i="2" s="1" a="1"/>
  <c r="N166" i="2" s="1"/>
  <c r="L166" i="2"/>
  <c r="M166" i="2"/>
  <c r="G167" i="2"/>
  <c r="N167" i="2" s="1" a="1"/>
  <c r="N167" i="2" s="1"/>
  <c r="L167" i="2"/>
  <c r="M167" i="2"/>
  <c r="G168" i="2"/>
  <c r="N168" i="2" s="1" a="1"/>
  <c r="N168" i="2" s="1"/>
  <c r="L168" i="2"/>
  <c r="M168" i="2"/>
  <c r="G169" i="2"/>
  <c r="N169" i="2" s="1" a="1"/>
  <c r="N169" i="2" s="1"/>
  <c r="L169" i="2"/>
  <c r="M169" i="2"/>
  <c r="G184" i="2"/>
  <c r="N184" i="2" s="1" a="1"/>
  <c r="N184" i="2" s="1"/>
  <c r="G185" i="2"/>
  <c r="N185" i="2" s="1" a="1"/>
  <c r="N185" i="2" s="1"/>
  <c r="G186" i="2"/>
  <c r="N186" i="2" s="1" a="1"/>
  <c r="N186" i="2" s="1"/>
  <c r="G187" i="2"/>
  <c r="N187" i="2" s="1" a="1"/>
  <c r="N187" i="2" s="1"/>
  <c r="G188" i="2"/>
  <c r="N188" i="2" s="1" a="1"/>
  <c r="N188" i="2" s="1"/>
  <c r="G189" i="2"/>
  <c r="N189" i="2" s="1" a="1"/>
  <c r="N189" i="2" s="1"/>
  <c r="L184" i="2"/>
  <c r="L185" i="2"/>
  <c r="L186" i="2"/>
  <c r="L187" i="2"/>
  <c r="L188" i="2"/>
  <c r="L189" i="2"/>
  <c r="M184" i="2"/>
  <c r="M185" i="2"/>
  <c r="M186" i="2"/>
  <c r="M187" i="2"/>
  <c r="M188" i="2"/>
  <c r="M189" i="2"/>
  <c r="G197" i="2"/>
  <c r="N197" i="2" s="1" a="1"/>
  <c r="N197" i="2" s="1"/>
  <c r="G198" i="2"/>
  <c r="N198" i="2" s="1" a="1"/>
  <c r="N198" i="2" s="1"/>
  <c r="L197" i="2"/>
  <c r="L198" i="2"/>
  <c r="M197" i="2"/>
  <c r="M198" i="2"/>
  <c r="G196" i="2"/>
  <c r="N196" i="2" s="1" a="1"/>
  <c r="N196" i="2" s="1"/>
  <c r="L196" i="2"/>
  <c r="M196" i="2"/>
  <c r="G191" i="2"/>
  <c r="N191" i="2" s="1" a="1"/>
  <c r="N191" i="2" s="1"/>
  <c r="G192" i="2"/>
  <c r="N192" i="2" s="1" a="1"/>
  <c r="N192" i="2" s="1"/>
  <c r="G193" i="2"/>
  <c r="N193" i="2" s="1" a="1"/>
  <c r="N193" i="2" s="1"/>
  <c r="G194" i="2"/>
  <c r="N194" i="2" s="1" a="1"/>
  <c r="N194" i="2" s="1"/>
  <c r="G195" i="2"/>
  <c r="N195" i="2" s="1" a="1"/>
  <c r="N195" i="2" s="1"/>
  <c r="L191" i="2"/>
  <c r="L192" i="2"/>
  <c r="L193" i="2"/>
  <c r="L194" i="2"/>
  <c r="L195" i="2"/>
  <c r="M191" i="2"/>
  <c r="M192" i="2"/>
  <c r="M193" i="2"/>
  <c r="M194" i="2"/>
  <c r="M195" i="2"/>
  <c r="G190" i="2"/>
  <c r="N190" i="2" s="1" a="1"/>
  <c r="N190" i="2" s="1"/>
  <c r="L190" i="2"/>
  <c r="M190" i="2"/>
  <c r="G183" i="2"/>
  <c r="N183" i="2" s="1" a="1"/>
  <c r="N183" i="2" s="1"/>
  <c r="L183" i="2"/>
  <c r="M183" i="2"/>
  <c r="G182" i="2"/>
  <c r="N182" i="2" s="1" a="1"/>
  <c r="N182" i="2" s="1"/>
  <c r="L182" i="2"/>
  <c r="M182" i="2"/>
  <c r="G181" i="2"/>
  <c r="N181" i="2" s="1" a="1"/>
  <c r="N181" i="2" s="1"/>
  <c r="L181" i="2"/>
  <c r="M181" i="2"/>
  <c r="G180" i="2"/>
  <c r="N180" i="2" s="1" a="1"/>
  <c r="N180" i="2" s="1"/>
  <c r="L180" i="2"/>
  <c r="M180" i="2"/>
  <c r="G179" i="2"/>
  <c r="N179" i="2" s="1" a="1"/>
  <c r="N179" i="2" s="1"/>
  <c r="L179" i="2"/>
  <c r="M179" i="2"/>
  <c r="G178" i="2"/>
  <c r="N178" i="2" s="1" a="1"/>
  <c r="N178" i="2" s="1"/>
  <c r="L178" i="2"/>
  <c r="M178" i="2"/>
  <c r="G177" i="2"/>
  <c r="N177" i="2" s="1" a="1"/>
  <c r="N177" i="2" s="1"/>
  <c r="L177" i="2"/>
  <c r="M177" i="2"/>
  <c r="G176" i="2"/>
  <c r="N176" i="2" s="1" a="1"/>
  <c r="N176" i="2" s="1"/>
  <c r="L176" i="2"/>
  <c r="M176" i="2"/>
  <c r="G175" i="2"/>
  <c r="N175" i="2" s="1" a="1"/>
  <c r="N175" i="2" s="1"/>
  <c r="L175" i="2"/>
  <c r="M175" i="2"/>
  <c r="G174" i="2"/>
  <c r="N174" i="2" s="1" a="1"/>
  <c r="N174" i="2" s="1"/>
  <c r="L174" i="2"/>
  <c r="M174" i="2"/>
  <c r="G173" i="2"/>
  <c r="N173" i="2" s="1" a="1"/>
  <c r="N173" i="2" s="1"/>
  <c r="L173" i="2"/>
  <c r="M173" i="2"/>
  <c r="G172" i="2"/>
  <c r="N172" i="2" s="1" a="1"/>
  <c r="N172" i="2" s="1"/>
  <c r="L172" i="2"/>
  <c r="M172" i="2"/>
  <c r="G171" i="2"/>
  <c r="N171" i="2" s="1" a="1"/>
  <c r="N171" i="2" s="1"/>
  <c r="L171" i="2"/>
  <c r="M171" i="2"/>
  <c r="G170" i="2"/>
  <c r="N170" i="2" s="1" a="1"/>
  <c r="N170" i="2" s="1"/>
  <c r="L170" i="2"/>
  <c r="M170" i="2"/>
  <c r="G151" i="2"/>
  <c r="N151" i="2" s="1" a="1"/>
  <c r="N151" i="2" s="1"/>
  <c r="M151" i="2"/>
  <c r="G150" i="2"/>
  <c r="N150" i="2" s="1" a="1"/>
  <c r="N150" i="2" s="1"/>
  <c r="L150" i="2"/>
  <c r="M150" i="2"/>
  <c r="G149" i="2"/>
  <c r="N149" i="2" s="1" a="1"/>
  <c r="N149" i="2" s="1"/>
  <c r="L149" i="2"/>
  <c r="M149" i="2"/>
  <c r="G148" i="2"/>
  <c r="N148" i="2" s="1" a="1"/>
  <c r="N148" i="2" s="1"/>
  <c r="L148" i="2"/>
  <c r="M148" i="2"/>
  <c r="G147" i="2"/>
  <c r="N147" i="2" s="1" a="1"/>
  <c r="N147" i="2" s="1"/>
  <c r="L147" i="2"/>
  <c r="M147" i="2"/>
  <c r="G146" i="2"/>
  <c r="N146" i="2" s="1" a="1"/>
  <c r="N146" i="2" s="1"/>
  <c r="L146" i="2"/>
  <c r="M146" i="2"/>
  <c r="G145" i="2"/>
  <c r="N145" i="2" s="1" a="1"/>
  <c r="N145" i="2" s="1"/>
  <c r="L145" i="2"/>
  <c r="M145" i="2"/>
  <c r="G144" i="2"/>
  <c r="N144" i="2" s="1" a="1"/>
  <c r="N144" i="2" s="1"/>
  <c r="L144" i="2"/>
  <c r="M144" i="2"/>
  <c r="M51" i="2"/>
  <c r="L51" i="2"/>
  <c r="K51" i="2"/>
  <c r="J51" i="2"/>
  <c r="M50" i="2"/>
  <c r="L50" i="2"/>
  <c r="K50" i="2"/>
  <c r="J50" i="2"/>
  <c r="M47" i="2"/>
  <c r="L47" i="2"/>
  <c r="K47" i="2"/>
  <c r="J47" i="2"/>
  <c r="M59" i="2"/>
  <c r="L59" i="2"/>
  <c r="K59" i="2"/>
  <c r="J59" i="2"/>
  <c r="M58" i="2"/>
  <c r="L58" i="2"/>
  <c r="K58" i="2"/>
  <c r="J58" i="2"/>
  <c r="M57" i="2"/>
  <c r="L57" i="2"/>
  <c r="K57" i="2"/>
  <c r="J57" i="2"/>
  <c r="M48" i="2"/>
  <c r="L48" i="2"/>
  <c r="K48" i="2"/>
  <c r="J48" i="2"/>
  <c r="M49" i="2"/>
  <c r="L49" i="2"/>
  <c r="K49" i="2"/>
  <c r="J49" i="2"/>
  <c r="M52" i="2"/>
  <c r="L52" i="2"/>
  <c r="K52" i="2"/>
  <c r="J52" i="2"/>
  <c r="M53" i="2"/>
  <c r="L53" i="2"/>
  <c r="K53" i="2"/>
  <c r="J53" i="2"/>
  <c r="M54" i="2"/>
  <c r="L54" i="2"/>
  <c r="K54" i="2"/>
  <c r="J54" i="2"/>
  <c r="M55" i="2"/>
  <c r="L55" i="2"/>
  <c r="K55" i="2"/>
  <c r="J55" i="2"/>
  <c r="M56" i="2"/>
  <c r="L56" i="2"/>
  <c r="K56" i="2"/>
  <c r="J56" i="2"/>
  <c r="M60" i="2"/>
  <c r="L60" i="2"/>
  <c r="K60" i="2"/>
  <c r="J60" i="2"/>
  <c r="M61" i="2"/>
  <c r="L61" i="2"/>
  <c r="K61" i="2"/>
  <c r="J61" i="2"/>
  <c r="M62" i="2"/>
  <c r="L62" i="2"/>
  <c r="K62" i="2"/>
  <c r="J62" i="2"/>
  <c r="M63" i="2"/>
  <c r="L63" i="2"/>
  <c r="K63" i="2"/>
  <c r="J63" i="2"/>
  <c r="M68" i="2"/>
  <c r="L68" i="2"/>
  <c r="K68" i="2"/>
  <c r="J68" i="2"/>
  <c r="M67" i="2"/>
  <c r="L67" i="2"/>
  <c r="K67" i="2"/>
  <c r="J67" i="2"/>
  <c r="M66" i="2"/>
  <c r="L66" i="2"/>
  <c r="K66" i="2"/>
  <c r="J66" i="2"/>
  <c r="M65" i="2"/>
  <c r="L65" i="2"/>
  <c r="K65" i="2"/>
  <c r="J65" i="2"/>
  <c r="M64" i="2"/>
  <c r="L64" i="2"/>
  <c r="K64" i="2"/>
  <c r="J64" i="2"/>
  <c r="M74" i="2"/>
  <c r="L74" i="2"/>
  <c r="K74" i="2"/>
  <c r="J74" i="2"/>
  <c r="M75" i="2"/>
  <c r="L75" i="2"/>
  <c r="K75" i="2"/>
  <c r="J75" i="2"/>
  <c r="M70" i="2"/>
  <c r="L70" i="2"/>
  <c r="K70" i="2"/>
  <c r="J70" i="2"/>
  <c r="M69" i="2"/>
  <c r="L69" i="2"/>
  <c r="K69" i="2"/>
  <c r="J69" i="2"/>
  <c r="M71" i="2"/>
  <c r="L71" i="2"/>
  <c r="K71" i="2"/>
  <c r="J71" i="2"/>
  <c r="M73" i="2"/>
  <c r="L73" i="2"/>
  <c r="K73" i="2"/>
  <c r="J73" i="2"/>
  <c r="M72" i="2"/>
  <c r="L72" i="2"/>
  <c r="K72" i="2"/>
  <c r="J72" i="2"/>
  <c r="M46" i="2"/>
  <c r="L46" i="2"/>
  <c r="K46" i="2"/>
  <c r="J46" i="2"/>
  <c r="M45" i="2"/>
  <c r="L45" i="2"/>
  <c r="K45" i="2"/>
  <c r="J45" i="2"/>
  <c r="M25" i="2"/>
  <c r="L25" i="2"/>
  <c r="K25" i="2"/>
  <c r="J25" i="2"/>
  <c r="M24" i="2"/>
  <c r="L24" i="2"/>
  <c r="K24" i="2"/>
  <c r="J24" i="2"/>
  <c r="M23" i="2"/>
  <c r="L23" i="2"/>
  <c r="K23" i="2"/>
  <c r="J23" i="2"/>
  <c r="M22" i="2"/>
  <c r="L22" i="2"/>
  <c r="K22" i="2"/>
  <c r="J22" i="2"/>
  <c r="M21" i="2"/>
  <c r="L21" i="2"/>
  <c r="K21" i="2"/>
  <c r="J21" i="2"/>
  <c r="M20" i="2"/>
  <c r="L20" i="2"/>
  <c r="K20" i="2"/>
  <c r="J20" i="2"/>
  <c r="M19" i="2"/>
  <c r="L19" i="2"/>
  <c r="K19" i="2"/>
  <c r="J19" i="2"/>
  <c r="M18" i="2"/>
  <c r="L18" i="2"/>
  <c r="K18" i="2"/>
  <c r="J18" i="2"/>
  <c r="M17" i="2"/>
  <c r="L17" i="2"/>
  <c r="K17" i="2"/>
  <c r="J17" i="2"/>
  <c r="M16" i="2"/>
  <c r="L16" i="2"/>
  <c r="K16" i="2"/>
  <c r="J16" i="2"/>
  <c r="M15" i="2"/>
  <c r="L15" i="2"/>
  <c r="K15" i="2"/>
  <c r="J15" i="2"/>
  <c r="M14" i="2"/>
  <c r="L14" i="2"/>
  <c r="K14" i="2"/>
  <c r="J14" i="2"/>
  <c r="M13" i="2"/>
  <c r="L13" i="2"/>
  <c r="K13" i="2"/>
  <c r="J13" i="2"/>
  <c r="M12" i="2"/>
  <c r="L12" i="2"/>
  <c r="K12" i="2"/>
  <c r="J12" i="2"/>
  <c r="M26" i="2"/>
  <c r="L26" i="2"/>
  <c r="K26" i="2"/>
  <c r="J26" i="2"/>
  <c r="M11" i="2"/>
  <c r="L11" i="2"/>
  <c r="K11" i="2"/>
  <c r="J11" i="2"/>
  <c r="M10" i="2"/>
  <c r="L10" i="2"/>
  <c r="K10" i="2"/>
  <c r="J10" i="2"/>
  <c r="M9" i="2"/>
  <c r="L9" i="2"/>
  <c r="K9" i="2"/>
  <c r="J9" i="2"/>
  <c r="M8" i="2"/>
  <c r="L8" i="2"/>
  <c r="K8" i="2"/>
  <c r="J8" i="2"/>
  <c r="M2" i="2"/>
  <c r="L2" i="2"/>
  <c r="K2" i="2"/>
  <c r="J2" i="2"/>
  <c r="M4" i="2"/>
  <c r="L4" i="2"/>
  <c r="K4" i="2"/>
  <c r="J4" i="2"/>
  <c r="M3" i="2"/>
  <c r="L3" i="2"/>
  <c r="K3" i="2"/>
  <c r="J3" i="2"/>
  <c r="M5" i="2"/>
  <c r="L5" i="2"/>
  <c r="K5" i="2"/>
  <c r="J5" i="2"/>
  <c r="M6" i="2"/>
  <c r="L6" i="2"/>
  <c r="K6" i="2"/>
  <c r="J6" i="2"/>
  <c r="M7" i="2"/>
  <c r="L7" i="2"/>
  <c r="K7" i="2"/>
  <c r="J7" i="2"/>
  <c r="M143" i="2"/>
  <c r="L143" i="2"/>
  <c r="K143" i="2"/>
  <c r="J143" i="2"/>
  <c r="M142" i="2"/>
  <c r="L142" i="2"/>
  <c r="K142" i="2"/>
  <c r="J142" i="2"/>
  <c r="M141" i="2"/>
  <c r="L141" i="2"/>
  <c r="K141" i="2"/>
  <c r="J141" i="2"/>
  <c r="M140" i="2"/>
  <c r="L140" i="2"/>
  <c r="K140" i="2"/>
  <c r="J140" i="2"/>
  <c r="M139" i="2"/>
  <c r="L139" i="2"/>
  <c r="K139" i="2"/>
  <c r="J139" i="2"/>
  <c r="M138" i="2"/>
  <c r="L138" i="2"/>
  <c r="K138" i="2"/>
  <c r="J138" i="2"/>
  <c r="M137" i="2"/>
  <c r="L137" i="2"/>
  <c r="K137" i="2"/>
  <c r="J137" i="2"/>
  <c r="M136" i="2"/>
  <c r="L136" i="2"/>
  <c r="K136" i="2"/>
  <c r="J136" i="2"/>
  <c r="M135" i="2"/>
  <c r="L135" i="2"/>
  <c r="K135" i="2"/>
  <c r="J135" i="2"/>
  <c r="M134" i="2"/>
  <c r="L134" i="2"/>
  <c r="K134" i="2"/>
  <c r="J134" i="2"/>
  <c r="M133" i="2"/>
  <c r="L133" i="2"/>
  <c r="K133" i="2"/>
  <c r="J133" i="2"/>
  <c r="M132" i="2"/>
  <c r="L132" i="2"/>
  <c r="K132" i="2"/>
  <c r="J132" i="2"/>
  <c r="M131" i="2"/>
  <c r="L131" i="2"/>
  <c r="K131" i="2"/>
  <c r="J131" i="2"/>
  <c r="M130" i="2"/>
  <c r="L130" i="2"/>
  <c r="K130" i="2"/>
  <c r="J130" i="2"/>
  <c r="M129" i="2"/>
  <c r="L129" i="2"/>
  <c r="K129" i="2"/>
  <c r="J129" i="2"/>
  <c r="M128" i="2"/>
  <c r="L128" i="2"/>
  <c r="K128" i="2"/>
  <c r="J128" i="2"/>
  <c r="M127" i="2"/>
  <c r="L127" i="2"/>
  <c r="K127" i="2"/>
  <c r="J127" i="2"/>
  <c r="M126" i="2"/>
  <c r="L126" i="2"/>
  <c r="K126" i="2"/>
  <c r="J126" i="2"/>
  <c r="M113" i="2"/>
  <c r="L113" i="2"/>
  <c r="K113" i="2"/>
  <c r="J113" i="2"/>
  <c r="M80" i="2"/>
  <c r="L80" i="2"/>
  <c r="K80" i="2"/>
  <c r="J80" i="2"/>
  <c r="M122" i="2"/>
  <c r="L122" i="2"/>
  <c r="K122" i="2"/>
  <c r="J122" i="2"/>
  <c r="M121" i="2"/>
  <c r="L121" i="2"/>
  <c r="K121" i="2"/>
  <c r="J121" i="2"/>
  <c r="M123" i="2"/>
  <c r="L123" i="2"/>
  <c r="K123" i="2"/>
  <c r="J123" i="2"/>
  <c r="M124" i="2"/>
  <c r="L124" i="2"/>
  <c r="K124" i="2"/>
  <c r="J124" i="2"/>
  <c r="M120" i="2"/>
  <c r="L120" i="2"/>
  <c r="K120" i="2"/>
  <c r="J120" i="2"/>
  <c r="M119" i="2"/>
  <c r="L119" i="2"/>
  <c r="K119" i="2"/>
  <c r="J119" i="2"/>
  <c r="M118" i="2"/>
  <c r="L118" i="2"/>
  <c r="K118" i="2"/>
  <c r="J118" i="2"/>
  <c r="M117" i="2"/>
  <c r="L117" i="2"/>
  <c r="K117" i="2"/>
  <c r="J117" i="2"/>
  <c r="M116" i="2"/>
  <c r="L116" i="2"/>
  <c r="K116" i="2"/>
  <c r="J116" i="2"/>
  <c r="M115" i="2"/>
  <c r="L115" i="2"/>
  <c r="K115" i="2"/>
  <c r="J115" i="2"/>
  <c r="M114" i="2"/>
  <c r="L114" i="2"/>
  <c r="K114" i="2"/>
  <c r="J114" i="2"/>
  <c r="M112" i="2"/>
  <c r="L112" i="2"/>
  <c r="K112" i="2"/>
  <c r="J112" i="2"/>
  <c r="G51" i="2"/>
  <c r="N51" i="2" s="1" a="1"/>
  <c r="N51" i="2" s="1"/>
  <c r="G74" i="2"/>
  <c r="N74" i="2" s="1" a="1"/>
  <c r="N74" i="2" s="1"/>
  <c r="G64" i="2"/>
  <c r="N64" i="2" s="1" a="1"/>
  <c r="N64" i="2" s="1"/>
  <c r="G65" i="2"/>
  <c r="N65" i="2" s="1" a="1"/>
  <c r="N65" i="2" s="1"/>
  <c r="G66" i="2"/>
  <c r="N66" i="2" s="1" a="1"/>
  <c r="N66" i="2" s="1"/>
  <c r="G67" i="2"/>
  <c r="N67" i="2" s="1" a="1"/>
  <c r="N67" i="2" s="1"/>
  <c r="G68" i="2"/>
  <c r="N68" i="2" s="1" a="1"/>
  <c r="N68" i="2" s="1"/>
  <c r="G63" i="2"/>
  <c r="N63" i="2" s="1" a="1"/>
  <c r="N63" i="2" s="1"/>
  <c r="G62" i="2"/>
  <c r="N62" i="2" s="1" a="1"/>
  <c r="N62" i="2" s="1"/>
  <c r="G61" i="2"/>
  <c r="N61" i="2" s="1" a="1"/>
  <c r="N61" i="2" s="1"/>
  <c r="G60" i="2"/>
  <c r="N60" i="2" s="1" a="1"/>
  <c r="N60" i="2" s="1"/>
  <c r="G56" i="2"/>
  <c r="N56" i="2" s="1" a="1"/>
  <c r="N56" i="2" s="1"/>
  <c r="G55" i="2"/>
  <c r="N55" i="2" s="1" a="1"/>
  <c r="N55" i="2" s="1"/>
  <c r="G54" i="2"/>
  <c r="N54" i="2" s="1" a="1"/>
  <c r="N54" i="2" s="1"/>
  <c r="G53" i="2"/>
  <c r="N53" i="2" s="1" a="1"/>
  <c r="N53" i="2" s="1"/>
  <c r="G52" i="2"/>
  <c r="N52" i="2" s="1" a="1"/>
  <c r="N52" i="2" s="1"/>
  <c r="G49" i="2"/>
  <c r="N49" i="2" s="1" a="1"/>
  <c r="N49" i="2" s="1"/>
  <c r="G48" i="2"/>
  <c r="N48" i="2" s="1" a="1"/>
  <c r="N48" i="2" s="1"/>
  <c r="G57" i="2"/>
  <c r="N57" i="2" s="1" a="1"/>
  <c r="N57" i="2" s="1"/>
  <c r="G58" i="2"/>
  <c r="N58" i="2" s="1" a="1"/>
  <c r="N58" i="2" s="1"/>
  <c r="G59" i="2"/>
  <c r="N59" i="2" s="1" a="1"/>
  <c r="N59" i="2" s="1"/>
  <c r="G47" i="2"/>
  <c r="N47" i="2" s="1" a="1"/>
  <c r="N47" i="2" s="1"/>
  <c r="G50" i="2"/>
  <c r="N50" i="2" s="1" a="1"/>
  <c r="N50" i="2" s="1"/>
  <c r="G72" i="2"/>
  <c r="N72" i="2" s="1" a="1"/>
  <c r="N72" i="2" s="1"/>
  <c r="G73" i="2"/>
  <c r="N73" i="2" s="1" a="1"/>
  <c r="N73" i="2" s="1"/>
  <c r="G71" i="2"/>
  <c r="N71" i="2" s="1" a="1"/>
  <c r="N71" i="2" s="1"/>
  <c r="G69" i="2"/>
  <c r="N69" i="2" s="1" a="1"/>
  <c r="N69" i="2" s="1"/>
  <c r="G70" i="2"/>
  <c r="N70" i="2" s="1" a="1"/>
  <c r="N70" i="2" s="1"/>
  <c r="G75" i="2"/>
  <c r="N75" i="2" s="1" a="1"/>
  <c r="N75" i="2" s="1"/>
  <c r="G20" i="2"/>
  <c r="N20" i="2" s="1" a="1"/>
  <c r="N20" i="2" s="1"/>
  <c r="G21" i="2"/>
  <c r="N21" i="2" s="1" a="1"/>
  <c r="N21" i="2" s="1"/>
  <c r="G22" i="2"/>
  <c r="N22" i="2" s="1" a="1"/>
  <c r="N22" i="2" s="1"/>
  <c r="G23" i="2"/>
  <c r="N23" i="2" s="1" a="1"/>
  <c r="N23" i="2" s="1"/>
  <c r="G24" i="2"/>
  <c r="N24" i="2" s="1" a="1"/>
  <c r="N24" i="2" s="1"/>
  <c r="G25" i="2"/>
  <c r="N25" i="2" s="1" a="1"/>
  <c r="N25" i="2" s="1"/>
  <c r="G45" i="2"/>
  <c r="N45" i="2" s="1" a="1"/>
  <c r="N45" i="2" s="1"/>
  <c r="G46" i="2"/>
  <c r="N46" i="2" s="1" a="1"/>
  <c r="N46" i="2" s="1"/>
  <c r="A7" i="5" l="1"/>
  <c r="A8" i="5" s="1"/>
  <c r="A9" i="5" s="1"/>
  <c r="A10" i="5" s="1"/>
  <c r="A11" i="5" s="1"/>
  <c r="A12" i="5" s="1"/>
  <c r="A13" i="5" s="1"/>
  <c r="A14" i="5" s="1"/>
  <c r="A15" i="5" s="1"/>
  <c r="A82" i="5"/>
  <c r="A83" i="5" s="1"/>
  <c r="A84" i="5" s="1"/>
  <c r="A85" i="5" s="1"/>
  <c r="A86" i="5" s="1"/>
  <c r="A87" i="5" s="1"/>
  <c r="A88" i="5" s="1"/>
  <c r="A89" i="5" s="1"/>
  <c r="A90" i="5" s="1"/>
  <c r="A65" i="5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48" i="5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94" i="5"/>
  <c r="A95" i="5" s="1"/>
  <c r="A96" i="5" s="1"/>
  <c r="A97" i="5" s="1"/>
  <c r="A98" i="5" s="1"/>
  <c r="A99" i="5" s="1"/>
  <c r="A100" i="5" s="1"/>
  <c r="A101" i="5" s="1"/>
  <c r="A102" i="5" s="1"/>
  <c r="A103" i="5" s="1"/>
  <c r="A18" i="5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G27" i="2"/>
  <c r="N27" i="2" s="1" a="1"/>
  <c r="N27" i="2" s="1"/>
  <c r="G76" i="2"/>
  <c r="N76" i="2" s="1" a="1"/>
  <c r="N76" i="2" s="1"/>
  <c r="G44" i="2"/>
  <c r="N44" i="2" s="1" a="1"/>
  <c r="N44" i="2" s="1"/>
  <c r="G43" i="2"/>
  <c r="N43" i="2" s="1" a="1"/>
  <c r="N43" i="2" s="1"/>
  <c r="G39" i="2"/>
  <c r="N39" i="2" s="1" a="1"/>
  <c r="N39" i="2" s="1"/>
  <c r="G31" i="2"/>
  <c r="N31" i="2" s="1" a="1"/>
  <c r="N31" i="2" s="1"/>
  <c r="G36" i="2"/>
  <c r="N36" i="2" s="1" a="1"/>
  <c r="N36" i="2" s="1"/>
  <c r="G41" i="2"/>
  <c r="N41" i="2" s="1" a="1"/>
  <c r="N41" i="2" s="1"/>
  <c r="G33" i="2"/>
  <c r="N33" i="2" s="1" a="1"/>
  <c r="N33" i="2" s="1"/>
  <c r="G35" i="2"/>
  <c r="N35" i="2" s="1" a="1"/>
  <c r="N35" i="2" s="1"/>
  <c r="G83" i="2"/>
  <c r="N83" i="2" s="1" a="1"/>
  <c r="N83" i="2" s="1"/>
  <c r="G38" i="2"/>
  <c r="N38" i="2" s="1" a="1"/>
  <c r="N38" i="2" s="1"/>
  <c r="G106" i="2"/>
  <c r="N106" i="2" s="1" a="1"/>
  <c r="N106" i="2" s="1"/>
  <c r="G82" i="2"/>
  <c r="N82" i="2" s="1" a="1"/>
  <c r="N82" i="2" s="1"/>
  <c r="G109" i="2"/>
  <c r="N109" i="2" s="1" a="1"/>
  <c r="N109" i="2" s="1"/>
  <c r="G42" i="2"/>
  <c r="N42" i="2" s="1" a="1"/>
  <c r="N42" i="2" s="1"/>
  <c r="G37" i="2"/>
  <c r="N37" i="2" s="1" a="1"/>
  <c r="N37" i="2" s="1"/>
  <c r="G40" i="2"/>
  <c r="N40" i="2" s="1" a="1"/>
  <c r="N40" i="2" s="1"/>
  <c r="G125" i="2"/>
  <c r="N125" i="2" s="1" a="1"/>
  <c r="N125" i="2" s="1"/>
  <c r="G86" i="2"/>
  <c r="N86" i="2" s="1" a="1"/>
  <c r="N86" i="2" s="1"/>
  <c r="G87" i="2"/>
  <c r="N87" i="2" s="1" a="1"/>
  <c r="N87" i="2" s="1"/>
  <c r="G107" i="2"/>
  <c r="N107" i="2" s="1" a="1"/>
  <c r="N107" i="2" s="1"/>
  <c r="G104" i="2"/>
  <c r="N104" i="2" s="1" a="1"/>
  <c r="N104" i="2" s="1"/>
  <c r="G103" i="2"/>
  <c r="N103" i="2" s="1" a="1"/>
  <c r="N103" i="2" s="1"/>
  <c r="G111" i="2"/>
  <c r="N111" i="2" s="1" a="1"/>
  <c r="N111" i="2" s="1"/>
  <c r="G108" i="2"/>
  <c r="N108" i="2" s="1" a="1"/>
  <c r="N108" i="2" s="1"/>
  <c r="G88" i="2"/>
  <c r="N88" i="2" s="1" a="1"/>
  <c r="N88" i="2" s="1"/>
  <c r="G105" i="2"/>
  <c r="N105" i="2" s="1" a="1"/>
  <c r="N105" i="2" s="1"/>
  <c r="G77" i="2"/>
  <c r="N77" i="2" s="1" a="1"/>
  <c r="N77" i="2" s="1"/>
  <c r="G78" i="2"/>
  <c r="N78" i="2" s="1" a="1"/>
  <c r="N78" i="2" s="1"/>
  <c r="G92" i="2"/>
  <c r="N92" i="2" s="1" a="1"/>
  <c r="N92" i="2" s="1"/>
  <c r="G85" i="2"/>
  <c r="N85" i="2" s="1" a="1"/>
  <c r="N85" i="2" s="1"/>
  <c r="G93" i="2"/>
  <c r="N93" i="2" s="1" a="1"/>
  <c r="N93" i="2" s="1"/>
  <c r="G95" i="2"/>
  <c r="N95" i="2" s="1" a="1"/>
  <c r="N95" i="2" s="1"/>
  <c r="G89" i="2"/>
  <c r="N89" i="2" s="1" a="1"/>
  <c r="N89" i="2" s="1"/>
  <c r="G81" i="2"/>
  <c r="N81" i="2" s="1" a="1"/>
  <c r="N81" i="2" s="1"/>
  <c r="G79" i="2"/>
  <c r="N79" i="2" s="1" a="1"/>
  <c r="N79" i="2" s="1"/>
  <c r="G84" i="2"/>
  <c r="N84" i="2" s="1" a="1"/>
  <c r="N84" i="2" s="1"/>
  <c r="G94" i="2"/>
  <c r="N94" i="2" s="1" a="1"/>
  <c r="N94" i="2" s="1"/>
  <c r="G91" i="2"/>
  <c r="N91" i="2" s="1" a="1"/>
  <c r="N91" i="2" s="1"/>
  <c r="G99" i="2"/>
  <c r="N99" i="2" s="1" a="1"/>
  <c r="N99" i="2" s="1"/>
  <c r="G97" i="2"/>
  <c r="N97" i="2" s="1" a="1"/>
  <c r="N97" i="2" s="1"/>
  <c r="G90" i="2"/>
  <c r="N90" i="2" s="1" a="1"/>
  <c r="N90" i="2" s="1"/>
  <c r="G96" i="2"/>
  <c r="N96" i="2" s="1" a="1"/>
  <c r="N96" i="2" s="1"/>
  <c r="G98" i="2"/>
  <c r="N98" i="2" s="1" a="1"/>
  <c r="N98" i="2" s="1"/>
  <c r="G110" i="2"/>
  <c r="N110" i="2" s="1" a="1"/>
  <c r="N110" i="2" s="1"/>
  <c r="G112" i="2"/>
  <c r="N112" i="2" s="1" a="1"/>
  <c r="N112" i="2" s="1"/>
  <c r="G114" i="2"/>
  <c r="N114" i="2" s="1" a="1"/>
  <c r="N114" i="2" s="1"/>
  <c r="G115" i="2"/>
  <c r="N115" i="2" s="1" a="1"/>
  <c r="N115" i="2" s="1"/>
  <c r="G116" i="2"/>
  <c r="N116" i="2" s="1" a="1"/>
  <c r="N116" i="2" s="1"/>
  <c r="G117" i="2"/>
  <c r="N117" i="2" s="1" a="1"/>
  <c r="N117" i="2" s="1"/>
  <c r="G118" i="2"/>
  <c r="N118" i="2" s="1" a="1"/>
  <c r="N118" i="2" s="1"/>
  <c r="G119" i="2"/>
  <c r="N119" i="2" s="1" a="1"/>
  <c r="N119" i="2" s="1"/>
  <c r="G120" i="2"/>
  <c r="N120" i="2" s="1" a="1"/>
  <c r="N120" i="2" s="1"/>
  <c r="G124" i="2"/>
  <c r="N124" i="2" s="1" a="1"/>
  <c r="N124" i="2" s="1"/>
  <c r="G123" i="2"/>
  <c r="N123" i="2" s="1" a="1"/>
  <c r="N123" i="2" s="1"/>
  <c r="G30" i="2"/>
  <c r="N30" i="2" s="1" a="1"/>
  <c r="N30" i="2" s="1"/>
  <c r="G121" i="2"/>
  <c r="N121" i="2" s="1" a="1"/>
  <c r="N121" i="2" s="1"/>
  <c r="G122" i="2"/>
  <c r="N122" i="2" s="1" a="1"/>
  <c r="N122" i="2" s="1"/>
  <c r="G80" i="2"/>
  <c r="N80" i="2" s="1" a="1"/>
  <c r="N80" i="2" s="1"/>
  <c r="G113" i="2"/>
  <c r="N113" i="2" s="1" a="1"/>
  <c r="N113" i="2" s="1"/>
  <c r="G126" i="2"/>
  <c r="N126" i="2" s="1" a="1"/>
  <c r="N126" i="2" s="1"/>
  <c r="G127" i="2"/>
  <c r="N127" i="2" s="1" a="1"/>
  <c r="N127" i="2" s="1"/>
  <c r="G128" i="2"/>
  <c r="N128" i="2" s="1" a="1"/>
  <c r="N128" i="2" s="1"/>
  <c r="G129" i="2"/>
  <c r="N129" i="2" s="1" a="1"/>
  <c r="N129" i="2" s="1"/>
  <c r="G130" i="2"/>
  <c r="N130" i="2" s="1" a="1"/>
  <c r="N130" i="2" s="1"/>
  <c r="G131" i="2"/>
  <c r="N131" i="2" s="1" a="1"/>
  <c r="N131" i="2" s="1"/>
  <c r="G132" i="2"/>
  <c r="N132" i="2" s="1" a="1"/>
  <c r="N132" i="2" s="1"/>
  <c r="G133" i="2"/>
  <c r="N133" i="2" s="1" a="1"/>
  <c r="N133" i="2" s="1"/>
  <c r="G134" i="2"/>
  <c r="N134" i="2" s="1" a="1"/>
  <c r="N134" i="2" s="1"/>
  <c r="G135" i="2"/>
  <c r="N135" i="2" s="1" a="1"/>
  <c r="N135" i="2" s="1"/>
  <c r="G136" i="2"/>
  <c r="N136" i="2" s="1" a="1"/>
  <c r="N136" i="2" s="1"/>
  <c r="G137" i="2"/>
  <c r="N137" i="2" s="1" a="1"/>
  <c r="N137" i="2" s="1"/>
  <c r="G138" i="2"/>
  <c r="N138" i="2" s="1" a="1"/>
  <c r="N138" i="2" s="1"/>
  <c r="G139" i="2"/>
  <c r="N139" i="2" s="1" a="1"/>
  <c r="N139" i="2" s="1"/>
  <c r="G140" i="2"/>
  <c r="N140" i="2" s="1" a="1"/>
  <c r="N140" i="2" s="1"/>
  <c r="G141" i="2"/>
  <c r="N141" i="2" s="1" a="1"/>
  <c r="N141" i="2" s="1"/>
  <c r="G142" i="2"/>
  <c r="N142" i="2" s="1" a="1"/>
  <c r="N142" i="2" s="1"/>
  <c r="G143" i="2"/>
  <c r="N143" i="2" s="1" a="1"/>
  <c r="N143" i="2" s="1"/>
  <c r="G7" i="2"/>
  <c r="N7" i="2" s="1" a="1"/>
  <c r="N7" i="2" s="1"/>
  <c r="G6" i="2"/>
  <c r="N6" i="2" s="1" a="1"/>
  <c r="N6" i="2" s="1"/>
  <c r="G5" i="2"/>
  <c r="N5" i="2" s="1" a="1"/>
  <c r="N5" i="2" s="1"/>
  <c r="G3" i="2"/>
  <c r="N3" i="2" s="1" a="1"/>
  <c r="N3" i="2" s="1"/>
  <c r="G4" i="2"/>
  <c r="N4" i="2" s="1" a="1"/>
  <c r="N4" i="2" s="1"/>
  <c r="G2" i="2"/>
  <c r="N2" i="2" s="1" a="1"/>
  <c r="N2" i="2" s="1"/>
  <c r="G8" i="2"/>
  <c r="N8" i="2" s="1" a="1"/>
  <c r="N8" i="2" s="1"/>
  <c r="G9" i="2"/>
  <c r="N9" i="2" s="1" a="1"/>
  <c r="N9" i="2" s="1"/>
  <c r="G10" i="2"/>
  <c r="N10" i="2" s="1" a="1"/>
  <c r="N10" i="2" s="1"/>
  <c r="G11" i="2"/>
  <c r="N11" i="2" s="1" a="1"/>
  <c r="N11" i="2" s="1"/>
  <c r="G26" i="2"/>
  <c r="N26" i="2" s="1" a="1"/>
  <c r="N26" i="2" s="1"/>
  <c r="G12" i="2"/>
  <c r="N12" i="2" s="1" a="1"/>
  <c r="N12" i="2" s="1"/>
  <c r="G13" i="2"/>
  <c r="N13" i="2" s="1" a="1"/>
  <c r="N13" i="2" s="1"/>
  <c r="G14" i="2"/>
  <c r="N14" i="2" s="1" a="1"/>
  <c r="N14" i="2" s="1"/>
  <c r="G15" i="2"/>
  <c r="N15" i="2" s="1" a="1"/>
  <c r="N15" i="2" s="1"/>
  <c r="G16" i="2"/>
  <c r="N16" i="2" s="1" a="1"/>
  <c r="N16" i="2" s="1"/>
  <c r="G17" i="2"/>
  <c r="N17" i="2" s="1" a="1"/>
  <c r="N17" i="2" s="1"/>
  <c r="G18" i="2"/>
  <c r="N18" i="2" s="1" a="1"/>
  <c r="N18" i="2" s="1"/>
  <c r="G19" i="2"/>
  <c r="N19" i="2" s="1" a="1"/>
  <c r="N19" i="2" s="1"/>
  <c r="J27" i="2" l="1"/>
  <c r="M110" i="2"/>
  <c r="M98" i="2"/>
  <c r="M96" i="2"/>
  <c r="M90" i="2"/>
  <c r="M97" i="2"/>
  <c r="M99" i="2"/>
  <c r="M91" i="2"/>
  <c r="M94" i="2"/>
  <c r="M84" i="2"/>
  <c r="M79" i="2"/>
  <c r="M81" i="2"/>
  <c r="M89" i="2"/>
  <c r="M95" i="2"/>
  <c r="M93" i="2"/>
  <c r="M85" i="2"/>
  <c r="M92" i="2"/>
  <c r="M78" i="2"/>
  <c r="M77" i="2"/>
  <c r="M105" i="2"/>
  <c r="M88" i="2"/>
  <c r="M108" i="2"/>
  <c r="M111" i="2"/>
  <c r="M103" i="2"/>
  <c r="M104" i="2"/>
  <c r="M107" i="2"/>
  <c r="M87" i="2"/>
  <c r="M86" i="2"/>
  <c r="M125" i="2"/>
  <c r="M40" i="2"/>
  <c r="M37" i="2"/>
  <c r="M42" i="2"/>
  <c r="M109" i="2"/>
  <c r="M82" i="2"/>
  <c r="M106" i="2"/>
  <c r="M38" i="2"/>
  <c r="M35" i="2"/>
  <c r="M33" i="2"/>
  <c r="M41" i="2"/>
  <c r="M36" i="2"/>
  <c r="M31" i="2"/>
  <c r="M39" i="2"/>
  <c r="M43" i="2"/>
  <c r="M44" i="2"/>
  <c r="M76" i="2"/>
  <c r="M27" i="2"/>
  <c r="K98" i="2"/>
  <c r="K96" i="2"/>
  <c r="K97" i="2"/>
  <c r="K99" i="2"/>
  <c r="K94" i="2"/>
  <c r="K84" i="2"/>
  <c r="K79" i="2"/>
  <c r="K81" i="2"/>
  <c r="K89" i="2"/>
  <c r="K95" i="2"/>
  <c r="K85" i="2"/>
  <c r="K92" i="2"/>
  <c r="K78" i="2"/>
  <c r="K77" i="2"/>
  <c r="K108" i="2"/>
  <c r="K111" i="2"/>
  <c r="K40" i="2"/>
  <c r="K37" i="2"/>
  <c r="K42" i="2"/>
  <c r="K82" i="2"/>
  <c r="K38" i="2"/>
  <c r="K35" i="2"/>
  <c r="K33" i="2"/>
  <c r="K41" i="2"/>
  <c r="K36" i="2"/>
  <c r="K31" i="2"/>
  <c r="K39" i="2"/>
  <c r="K44" i="2"/>
  <c r="K27" i="2"/>
  <c r="J96" i="2"/>
  <c r="J97" i="2"/>
  <c r="J99" i="2"/>
  <c r="J94" i="2"/>
  <c r="J84" i="2"/>
  <c r="J79" i="2"/>
  <c r="J81" i="2"/>
  <c r="J89" i="2"/>
  <c r="J95" i="2"/>
  <c r="J85" i="2"/>
  <c r="J92" i="2"/>
  <c r="J78" i="2"/>
  <c r="J77" i="2"/>
  <c r="J111" i="2"/>
  <c r="J40" i="2"/>
  <c r="J37" i="2"/>
  <c r="J42" i="2"/>
  <c r="J82" i="2"/>
  <c r="J38" i="2"/>
  <c r="J35" i="2"/>
  <c r="J33" i="2"/>
  <c r="J41" i="2"/>
  <c r="J36" i="2"/>
  <c r="J31" i="2"/>
  <c r="J39" i="2"/>
  <c r="J44" i="2"/>
  <c r="M83" i="2"/>
  <c r="J83" i="2"/>
  <c r="K83" i="2"/>
  <c r="L27" i="2"/>
  <c r="L76" i="2"/>
  <c r="L44" i="2"/>
  <c r="L43" i="2"/>
  <c r="L39" i="2"/>
  <c r="L31" i="2"/>
  <c r="L36" i="2"/>
  <c r="L41" i="2"/>
  <c r="L33" i="2"/>
  <c r="L35" i="2"/>
  <c r="L83" i="2"/>
  <c r="L38" i="2"/>
  <c r="L106" i="2"/>
  <c r="L82" i="2"/>
  <c r="L109" i="2"/>
  <c r="L42" i="2"/>
  <c r="L37" i="2"/>
  <c r="L40" i="2"/>
  <c r="L125" i="2"/>
  <c r="L86" i="2"/>
  <c r="L87" i="2"/>
  <c r="L107" i="2"/>
  <c r="L104" i="2"/>
  <c r="L103" i="2"/>
  <c r="L111" i="2"/>
  <c r="L108" i="2"/>
  <c r="L88" i="2"/>
  <c r="L105" i="2"/>
  <c r="L77" i="2"/>
  <c r="L78" i="2"/>
  <c r="L92" i="2"/>
  <c r="L85" i="2"/>
  <c r="L93" i="2"/>
  <c r="L95" i="2"/>
  <c r="L89" i="2"/>
  <c r="L81" i="2"/>
  <c r="L79" i="2"/>
  <c r="L84" i="2"/>
  <c r="L94" i="2"/>
  <c r="L91" i="2"/>
  <c r="L99" i="2"/>
  <c r="L97" i="2"/>
  <c r="L90" i="2"/>
  <c r="L96" i="2"/>
  <c r="L98" i="2"/>
  <c r="L110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l="1"/>
  <c r="E27" i="2" s="1"/>
  <c r="E28" i="2" l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l="1"/>
  <c r="E46" i="2" l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l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1" i="2" s="1"/>
  <c r="E172" i="2" s="1"/>
  <c r="E173" i="2" s="1"/>
  <c r="E174" i="2" s="1"/>
  <c r="E175" i="2" s="1"/>
  <c r="E176" i="2" s="1"/>
  <c r="E177" i="2" s="1"/>
  <c r="E178" i="2" s="1"/>
  <c r="E180" i="2" s="1"/>
  <c r="E181" i="2" s="1"/>
  <c r="E182" i="2" s="1"/>
  <c r="E183" i="2" s="1"/>
  <c r="E185" i="2" s="1"/>
  <c r="E186" i="2" s="1"/>
  <c r="E187" i="2" s="1"/>
  <c r="E188" i="2" s="1"/>
  <c r="E189" i="2" s="1"/>
  <c r="E191" i="2" s="1"/>
  <c r="E192" i="2" s="1"/>
  <c r="E193" i="2" s="1"/>
  <c r="E194" i="2" s="1"/>
  <c r="E195" i="2" s="1"/>
  <c r="E196" i="2" s="1"/>
  <c r="E197" i="2" s="1"/>
  <c r="E19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tc={32880C02-947A-4CD7-964A-55EC8FFA9CC3}</author>
  </authors>
  <commentList>
    <comment ref="E1" authorId="0" shapeId="0" xr:uid="{32880C02-947A-4CD7-964A-55EC8FFA9C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Ordem Augin e Miro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tc={24BB044B-9592-46AB-B855-9B3591717D87}</author>
    <author>tc={90A17CFF-AED7-4119-8058-176C92C889C1}</author>
    <author>tc={1FA2E1F7-EEE0-4B91-B39A-30D1AEE0BB9B}</author>
    <author>tc={D8FD21DD-6875-402C-8C69-5455BE47ED0E}</author>
  </authors>
  <commentList>
    <comment ref="E1" authorId="0" shapeId="0" xr:uid="{24BB044B-9592-46AB-B855-9B3591717D8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Ordem Augin e Miro</t>
      </text>
    </comment>
    <comment ref="D63" authorId="1" shapeId="0" xr:uid="{90A17CFF-AED7-4119-8058-176C92C889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colocar ARQ - erro Augin</t>
      </text>
    </comment>
    <comment ref="D71" authorId="2" shapeId="0" xr:uid="{1FA2E1F7-EEE0-4B91-B39A-30D1AEE0BB9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Faltou EST</t>
      </text>
    </comment>
    <comment ref="D92" authorId="3" shapeId="0" xr:uid="{D8FD21DD-6875-402C-8C69-5455BE47ED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está no Drive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tc={6E5B4471-3C4D-4F78-B30A-CBFBCA8E462C}</author>
    <author>tc={9AF7A5E7-593B-47E0-AAE2-BC5C385FBB03}</author>
    <author>tc={B0B4C834-2225-4652-ADB3-DB9C27C919DC}</author>
    <author>tc={EC6CF2B1-DF84-4CFA-8D03-0854CDE05118}</author>
    <author>tc={DB7740D2-A99C-4D22-BE90-4EF000B3CB06}</author>
    <author>tc={4899B873-FF80-4B52-9C24-E22FC6A68E08}</author>
  </authors>
  <commentList>
    <comment ref="E1" authorId="0" shapeId="0" xr:uid="{6E5B4471-3C4D-4F78-B30A-CBFBCA8E46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Ordem Augin e Miro</t>
      </text>
    </comment>
    <comment ref="D9" authorId="1" shapeId="0" xr:uid="{9AF7A5E7-593B-47E0-AAE2-BC5C385FBB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Avaliar se necessário as built</t>
      </text>
    </comment>
    <comment ref="D46" authorId="2" shapeId="0" xr:uid="{B0B4C834-2225-4652-ADB3-DB9C27C919D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STECLA ATUALIZOU
</t>
      </text>
    </comment>
    <comment ref="D65" authorId="3" shapeId="0" xr:uid="{EC6CF2B1-DF84-4CFA-8D03-0854CDE051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Revit na revisão R00 - rever</t>
      </text>
    </comment>
    <comment ref="D66" authorId="4" shapeId="0" xr:uid="{DB7740D2-A99C-4D22-BE90-4EF000B3CB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Revit na revisão R00 - rever</t>
      </text>
    </comment>
    <comment ref="D81" authorId="5" shapeId="0" xr:uid="{4899B873-FF80-4B52-9C24-E22FC6A68E0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Revit na revisão R01 - rever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<sst xmlns="http://schemas.openxmlformats.org/spreadsheetml/2006/main" count="3413" uniqueCount="669">
  <si>
    <t>Edificação</t>
  </si>
  <si>
    <t>Pavimento</t>
  </si>
  <si>
    <t>Setor</t>
  </si>
  <si>
    <t>Sala</t>
  </si>
  <si>
    <t>Número Sala</t>
  </si>
  <si>
    <t>Augin?</t>
  </si>
  <si>
    <t>Status</t>
  </si>
  <si>
    <t>Data Verificada</t>
  </si>
  <si>
    <t>Faltou Disciplina?</t>
  </si>
  <si>
    <t>Revisar</t>
  </si>
  <si>
    <t>Obs</t>
  </si>
  <si>
    <t>Data Verificada2</t>
  </si>
  <si>
    <t>Obs2</t>
  </si>
  <si>
    <t>Produção</t>
  </si>
  <si>
    <t>2 Pav</t>
  </si>
  <si>
    <t>C</t>
  </si>
  <si>
    <t>Embalagem Final</t>
  </si>
  <si>
    <t>Não</t>
  </si>
  <si>
    <t>3 Pav</t>
  </si>
  <si>
    <t>Tratamento Térmico</t>
  </si>
  <si>
    <t>Sim</t>
  </si>
  <si>
    <t>CLI, ELEMT</t>
  </si>
  <si>
    <t>Faltou CLI no Augin</t>
  </si>
  <si>
    <t>EPI</t>
  </si>
  <si>
    <t>IST Vest</t>
  </si>
  <si>
    <t>DML 01</t>
  </si>
  <si>
    <t>Área de Preparação</t>
  </si>
  <si>
    <t>Montagem de Kits</t>
  </si>
  <si>
    <t>DML 02</t>
  </si>
  <si>
    <t>Sala de Gerência</t>
  </si>
  <si>
    <t>Sala de Qualidade</t>
  </si>
  <si>
    <t>Jateamento Jato Zi</t>
  </si>
  <si>
    <t>Higienização Final</t>
  </si>
  <si>
    <t>Sala de Recuperação de Óxido</t>
  </si>
  <si>
    <t>Escritório Microbiologia</t>
  </si>
  <si>
    <t>Vestiário Masculino</t>
  </si>
  <si>
    <t>Vestiário Feminino - Armários</t>
  </si>
  <si>
    <t>Circulação Vestiários</t>
  </si>
  <si>
    <t>4 Pav</t>
  </si>
  <si>
    <t>Passarela Metálica</t>
  </si>
  <si>
    <t>CLI, Trackers</t>
  </si>
  <si>
    <t>2 Trackers não foram posicionados por conta da chuva</t>
  </si>
  <si>
    <t>Laminação</t>
  </si>
  <si>
    <t>SKP, UTI</t>
  </si>
  <si>
    <t>Verificar a partir do 4º Pav</t>
  </si>
  <si>
    <t>Pintura</t>
  </si>
  <si>
    <t>CLI</t>
  </si>
  <si>
    <t>Antessalas Sala Controlada</t>
  </si>
  <si>
    <t>Sala Controlada</t>
  </si>
  <si>
    <t>ISF e ISM - Eixo J</t>
  </si>
  <si>
    <t>Injeção Plástica 1</t>
  </si>
  <si>
    <t>LOG, ELEMT</t>
  </si>
  <si>
    <t>Blisteira e DML</t>
  </si>
  <si>
    <t>Polimento e Rebolo</t>
  </si>
  <si>
    <t>UTI</t>
  </si>
  <si>
    <t>Montagem Implantes Acqua</t>
  </si>
  <si>
    <t>TNC</t>
  </si>
  <si>
    <t>ISF e ISM - Eixo A</t>
  </si>
  <si>
    <t>Pré-Lavagem</t>
  </si>
  <si>
    <t>TRS Zi</t>
  </si>
  <si>
    <t>Sala Úmida (TRS)</t>
  </si>
  <si>
    <t>Sala Seca (TRS)</t>
  </si>
  <si>
    <t>Antessala Saída Resíduos (Blisteira)</t>
  </si>
  <si>
    <t>Entrada Insumos (Blisteira)</t>
  </si>
  <si>
    <t>Circulação Eixo B</t>
  </si>
  <si>
    <t>Circulação Escada Eixo A</t>
  </si>
  <si>
    <t>Peregrino</t>
  </si>
  <si>
    <t>Desmontagem</t>
  </si>
  <si>
    <t>Acabamento</t>
  </si>
  <si>
    <t>Área de Separação</t>
  </si>
  <si>
    <t>Controle da Qualidade</t>
  </si>
  <si>
    <t>Torque Automático</t>
  </si>
  <si>
    <t>Gravação a Laser</t>
  </si>
  <si>
    <t>Modula</t>
  </si>
  <si>
    <t>HID 02, LOG</t>
  </si>
  <si>
    <t>Circulação Microbiologia</t>
  </si>
  <si>
    <t>Circulação Escada Eixo J</t>
  </si>
  <si>
    <t>Usinagem</t>
  </si>
  <si>
    <t>Injeção Plástica 2</t>
  </si>
  <si>
    <t>B</t>
  </si>
  <si>
    <t>Gestão da Produção</t>
  </si>
  <si>
    <t>Metrologia B</t>
  </si>
  <si>
    <t>Pre Set B</t>
  </si>
  <si>
    <t>Almoxarifado</t>
  </si>
  <si>
    <t>Diretoria Produção</t>
  </si>
  <si>
    <t>A</t>
  </si>
  <si>
    <t>Metrologia A</t>
  </si>
  <si>
    <t>Pre Set A</t>
  </si>
  <si>
    <t>Sala TI e Escada</t>
  </si>
  <si>
    <t>Pre Set e Reuniões A</t>
  </si>
  <si>
    <t>Afiação</t>
  </si>
  <si>
    <t>ISM Eixo A</t>
  </si>
  <si>
    <t>ISF Eixo J</t>
  </si>
  <si>
    <t>Manutenção Predial e AC</t>
  </si>
  <si>
    <t>TI</t>
  </si>
  <si>
    <t>Estoque TI</t>
  </si>
  <si>
    <t>Data Center</t>
  </si>
  <si>
    <t>ISM, ISF e DML</t>
  </si>
  <si>
    <t>Circulação</t>
  </si>
  <si>
    <t>Escritório Manutenção</t>
  </si>
  <si>
    <t>Sala Automação</t>
  </si>
  <si>
    <t>Manutenlção e Circulação</t>
  </si>
  <si>
    <t>Estantes</t>
  </si>
  <si>
    <t>Reserva</t>
  </si>
  <si>
    <t>Terraço Técnico Descoberto Eixo A</t>
  </si>
  <si>
    <t>Depósito + Circulação Escada Eixo A</t>
  </si>
  <si>
    <t>Terraço Técnico Descoberto Eixo J</t>
  </si>
  <si>
    <t>Térreo</t>
  </si>
  <si>
    <t>Audiometria</t>
  </si>
  <si>
    <t>Consultorio Médico</t>
  </si>
  <si>
    <t>DML, ISM, ISF (J-14)</t>
  </si>
  <si>
    <t>SESMT</t>
  </si>
  <si>
    <t>Reunião RH</t>
  </si>
  <si>
    <t>Acesso Colaboradores + Circulação</t>
  </si>
  <si>
    <t>Sala Elétrica</t>
  </si>
  <si>
    <t>Central de Água Gelada</t>
  </si>
  <si>
    <t>Ar Comprimido</t>
  </si>
  <si>
    <t>Circulação Bombas</t>
  </si>
  <si>
    <t>Circulação Talude</t>
  </si>
  <si>
    <t>Hall Escada 02</t>
  </si>
  <si>
    <t>Logística</t>
  </si>
  <si>
    <t>Ferramentaria</t>
  </si>
  <si>
    <t>Produtos Químicos</t>
  </si>
  <si>
    <t>Tanques Neutralizantes</t>
  </si>
  <si>
    <t>Transbordo</t>
  </si>
  <si>
    <t>Jardinagem</t>
  </si>
  <si>
    <t>Tambores Vazios e IBCs</t>
  </si>
  <si>
    <t>Gases</t>
  </si>
  <si>
    <t>Inflamáveis</t>
  </si>
  <si>
    <t>Casa de Óleos</t>
  </si>
  <si>
    <t>DML</t>
  </si>
  <si>
    <t>ISM e ISF</t>
  </si>
  <si>
    <t>Circulação Eixo A-B</t>
  </si>
  <si>
    <t>Central de Óleo</t>
  </si>
  <si>
    <t>Estacionamento</t>
  </si>
  <si>
    <t>CEO e Assistentes</t>
  </si>
  <si>
    <t>Reunião Diretoria</t>
  </si>
  <si>
    <t>Reunião Multiuso</t>
  </si>
  <si>
    <t>Átrio Diretoria</t>
  </si>
  <si>
    <t>Diretoria Rotativa</t>
  </si>
  <si>
    <t>ISM, ISF Diretoria</t>
  </si>
  <si>
    <t>Copa Diretoria e DML</t>
  </si>
  <si>
    <t>Galeria</t>
  </si>
  <si>
    <t>Diretoria 1</t>
  </si>
  <si>
    <t>Diretoria 2</t>
  </si>
  <si>
    <t>Diretoria 3</t>
  </si>
  <si>
    <t>Diretoria 4</t>
  </si>
  <si>
    <t>ISM, ISF Eixos B-C</t>
  </si>
  <si>
    <t>Café Eixo C-D</t>
  </si>
  <si>
    <t>Reunião Eixo C-D</t>
  </si>
  <si>
    <t>Reunião Eixo D-E</t>
  </si>
  <si>
    <t>DML e TI</t>
  </si>
  <si>
    <t>Reunião Eixo E-F</t>
  </si>
  <si>
    <t>Reunião Eixo F-G</t>
  </si>
  <si>
    <t>Café Eixo F-G</t>
  </si>
  <si>
    <t>ISM, ISF Eixo G-H</t>
  </si>
  <si>
    <t>Amamentação</t>
  </si>
  <si>
    <t>Reunião 1</t>
  </si>
  <si>
    <t>Reunião 2</t>
  </si>
  <si>
    <t>Foyer</t>
  </si>
  <si>
    <t>Jurídico</t>
  </si>
  <si>
    <t>RH</t>
  </si>
  <si>
    <t>Suporte</t>
  </si>
  <si>
    <t>-</t>
  </si>
  <si>
    <t xml:space="preserve">Hall </t>
  </si>
  <si>
    <t>Copa de Lavagem</t>
  </si>
  <si>
    <t>Restaurante</t>
  </si>
  <si>
    <t>Copa</t>
  </si>
  <si>
    <t>Cozinha</t>
  </si>
  <si>
    <t>Estoque Seco</t>
  </si>
  <si>
    <t>Camara Fria</t>
  </si>
  <si>
    <t>Vestiário Feminino</t>
  </si>
  <si>
    <t>Town Hall e Lounge</t>
  </si>
  <si>
    <t>Hall</t>
  </si>
  <si>
    <t>Espaço Multiuso</t>
  </si>
  <si>
    <t>Apoio Eventos e Copa</t>
  </si>
  <si>
    <t>DML e Circulação</t>
  </si>
  <si>
    <t>ISF e ISM</t>
  </si>
  <si>
    <t>Terraço Técnico Descoberto</t>
  </si>
  <si>
    <t>Hall e Antecamara</t>
  </si>
  <si>
    <t>Sala de Jogos</t>
  </si>
  <si>
    <t>Sala Calma</t>
  </si>
  <si>
    <t>ISF, ISM, DML, Rack, No Break</t>
  </si>
  <si>
    <t>Central Utilidades</t>
  </si>
  <si>
    <t>Briquetagem de Resíduos</t>
  </si>
  <si>
    <t>Seleção de Resíduos</t>
  </si>
  <si>
    <t>Transbordo e Doca de Resíduos</t>
  </si>
  <si>
    <t>Bacia de Contenção Coberta P/ Tanque Diesel</t>
  </si>
  <si>
    <t>Sala dos Geradores</t>
  </si>
  <si>
    <t>Subestação 1, Sala de Controle e de Baterias</t>
  </si>
  <si>
    <t>Circulação Escada</t>
  </si>
  <si>
    <t>Subestação 2</t>
  </si>
  <si>
    <t>Central de Vapor</t>
  </si>
  <si>
    <t>Portaria</t>
  </si>
  <si>
    <t>Recepção e Integração</t>
  </si>
  <si>
    <t>Reuniões, IS e Posto Fiscal</t>
  </si>
  <si>
    <t>CFTV, IS, Antessala</t>
  </si>
  <si>
    <t>Segurança</t>
  </si>
  <si>
    <t>Área Externa</t>
  </si>
  <si>
    <t>Sede Recreativa</t>
  </si>
  <si>
    <t>Salão Churrasqueira e Copa de Apoio</t>
  </si>
  <si>
    <t>IS Masc</t>
  </si>
  <si>
    <t>IS Fem</t>
  </si>
  <si>
    <t>Vestiário 1</t>
  </si>
  <si>
    <t>Vestiário 2 e Material Esportivo</t>
  </si>
  <si>
    <t>Copa Apoio, DML, ISF e ISM</t>
  </si>
  <si>
    <t>Sala Comunidade</t>
  </si>
  <si>
    <t>Data</t>
  </si>
  <si>
    <t>Número Apontamento</t>
  </si>
  <si>
    <t>Disciplina</t>
  </si>
  <si>
    <t>Divergência</t>
  </si>
  <si>
    <t>ELE</t>
  </si>
  <si>
    <t>Desvio perfilado</t>
  </si>
  <si>
    <t>HID</t>
  </si>
  <si>
    <t>Altura tubulação - agua fria</t>
  </si>
  <si>
    <t>Desvios eletrocalhas</t>
  </si>
  <si>
    <t>Desvios tubulações - água gelada</t>
  </si>
  <si>
    <t>Altura eletrocalha</t>
  </si>
  <si>
    <t>SDAI</t>
  </si>
  <si>
    <t>Desvio da tubulação na viga</t>
  </si>
  <si>
    <t>Divergente do projeto</t>
  </si>
  <si>
    <t>PCI</t>
  </si>
  <si>
    <t>Projeto previa desvio - executado alinhado</t>
  </si>
  <si>
    <t>Eletrocalhas em altura diferente</t>
  </si>
  <si>
    <t>Eletrocalha executada sem desvio</t>
  </si>
  <si>
    <t>Perfilado deslocado</t>
  </si>
  <si>
    <t>Altura da tomada</t>
  </si>
  <si>
    <t>Faltou ponto de bebedouro em projeto</t>
  </si>
  <si>
    <t>Desvio tubulação sprinkler</t>
  </si>
  <si>
    <t>Desvio tubulação ar comprimido</t>
  </si>
  <si>
    <t>Deslocada tubulação ar comprimido</t>
  </si>
  <si>
    <t>Tubulação de esgoto executada diferente para poder passar pela abertura na viga</t>
  </si>
  <si>
    <t>Eletrocalha prevista abaixo da cli e executada acima</t>
  </si>
  <si>
    <t>Pervilado com desvio previtso, executado reto</t>
  </si>
  <si>
    <t>SLIDE 26</t>
  </si>
  <si>
    <t>Painéis elétricos deslocados</t>
  </si>
  <si>
    <t>Deslocada tubulação de pci</t>
  </si>
  <si>
    <t>Deslocada tubulação de agua fria</t>
  </si>
  <si>
    <t>Rebaixada tubulação de agua fria</t>
  </si>
  <si>
    <t>Modificada a tubulação de agua</t>
  </si>
  <si>
    <t>Sprinkler deslocado</t>
  </si>
  <si>
    <t>Desvio na tubulação de climatização</t>
  </si>
  <si>
    <t>Duto ar comprimido deslocado</t>
  </si>
  <si>
    <t>Projeto previa desvio, eletrocalha executada reta</t>
  </si>
  <si>
    <t>Tubulação de esgoto com desvio diferente do projeto</t>
  </si>
  <si>
    <t>Posição da tubulação divergente do projeto</t>
  </si>
  <si>
    <t>Posição da tubulação agua fria divergente do projeto</t>
  </si>
  <si>
    <t>Posição da tubulação ar comprimido divergente do projeto</t>
  </si>
  <si>
    <t>Divergências gerais projeto x executado</t>
  </si>
  <si>
    <t>LOG</t>
  </si>
  <si>
    <t>Tubulação de esgoto executada em nível mais baixo (para evitar desvio naviga)</t>
  </si>
  <si>
    <t>Perfilados executados abaixo do previsto em projeto (abaixo das tubulações de esgoto)</t>
  </si>
  <si>
    <t xml:space="preserve">Tubulação invertida (lado oposto da sala) </t>
  </si>
  <si>
    <t>Tubulação prevista a cima do duto de climatização. Executada com desviso abaixo do duto</t>
  </si>
  <si>
    <t>Eletrocalhas e perfilados executados com desvios diferentes do projeto</t>
  </si>
  <si>
    <t>Execução dos dutos em nível a cima do previsto em projeto</t>
  </si>
  <si>
    <t>Tubulação de ar comprimido deslocada</t>
  </si>
  <si>
    <t>Eletrocalha deslocada</t>
  </si>
  <si>
    <t>Eletrocalha previa desvio. Executada reta</t>
  </si>
  <si>
    <t>Tubulação deslocada</t>
  </si>
  <si>
    <t>Previsto desvio para posicionar bico, executado sem</t>
  </si>
  <si>
    <t>Tubulação de esgoto sem desvios. Executada mais baixa para evitar desvio na viga</t>
  </si>
  <si>
    <t>Tubulação com desvio e furo não previsto em projeto</t>
  </si>
  <si>
    <t>Tubulação de agua fria executada a cima da climatização</t>
  </si>
  <si>
    <t>Tubulação extra com furo em laje não previsto em projeto</t>
  </si>
  <si>
    <t>Perfilados com leve desvio em projeto e executado reta</t>
  </si>
  <si>
    <t>Tubulação com desvio não previsto em projeto</t>
  </si>
  <si>
    <t>Tubulação de agua fria executada dentro da sala. Em projeto era previsto passagem pela estrutura metálica da fachada</t>
  </si>
  <si>
    <t>Dutos de sprinkler deslocados</t>
  </si>
  <si>
    <t>Tubulação executada a cima dos painéis</t>
  </si>
  <si>
    <t>Perfilados com desvio previsto e executados retos</t>
  </si>
  <si>
    <t>Executado em nível mais alto que projeto</t>
  </si>
  <si>
    <t>Eletrocalha deslocada junta a de elétrica</t>
  </si>
  <si>
    <t>Tubulação deslocada junta as eletrocalhas</t>
  </si>
  <si>
    <t>Tubulação de ar comprimido deslocada junto às eletrocalhas</t>
  </si>
  <si>
    <t>Dutos executados retos T01</t>
  </si>
  <si>
    <t>Tubulação de Agua em altura e posição diferente acima das antessalas</t>
  </si>
  <si>
    <t>Eletrocalha tinha desvio previsto. Não foi feito e posição deslocada</t>
  </si>
  <si>
    <t>Eletrocalha nos corredores da passarela (entorno) executadas com altura maior sobre piso</t>
  </si>
  <si>
    <t>Eletrocalha no corredor central com posição deslocada. Previsto em um lado, executado no outro</t>
  </si>
  <si>
    <t>Prejeto previa desvio para cima e executado sem</t>
  </si>
  <si>
    <t>Tubulação posicionadas diferentes do projeto</t>
  </si>
  <si>
    <t>Tubulação de esgoto muito divergente. Projeto previa tubulação passando sob o forro da sala e foi executado no entorno. Tubulação executada por conta do duto de labagem de gases</t>
  </si>
  <si>
    <t>Tubulação executada abaixo do previsto em projeto (atravessa o painel)</t>
  </si>
  <si>
    <t>Perfilado deslocado em planta</t>
  </si>
  <si>
    <t>Perfilado com desvio previsto divergente do projeto</t>
  </si>
  <si>
    <t>Eletrocalha com altura mais alta que a prevista em projeto</t>
  </si>
  <si>
    <t>Fdutos executados com altura maior que o previsto em projeto</t>
  </si>
  <si>
    <t>Execução divergente do projeto em diversos pontos</t>
  </si>
  <si>
    <t>Deslocado comparado ao projeto</t>
  </si>
  <si>
    <t>Divergente do projeto na antessala</t>
  </si>
  <si>
    <t>Projeto previa descida de água fria dentro do painel. Executado rente ao painel</t>
  </si>
  <si>
    <t>Tubulação sob forro executada a cima do previsto</t>
  </si>
  <si>
    <t>Executado mais alto que o previsto em projeto (acima dos painéis)</t>
  </si>
  <si>
    <t>Dutos executados a cima do previsto</t>
  </si>
  <si>
    <t>Dutos deslocados</t>
  </si>
  <si>
    <t>FORRO, LOG, UTI</t>
  </si>
  <si>
    <t>Verificar projetos</t>
  </si>
  <si>
    <t>Tubulação principal e dutos de sprinkler executados no mesmo nível. Projeto previa níveis diferentes</t>
  </si>
  <si>
    <t>Dutos de sprinkler levemente deslocados</t>
  </si>
  <si>
    <t>Eletrocalha não executada</t>
  </si>
  <si>
    <t>Descida de água fria não executada por não haver necessidade</t>
  </si>
  <si>
    <t>Dutos executados mais altos que o previsto em projeto</t>
  </si>
  <si>
    <t>Ar comprimido executado apenas um ponto. Divergente de projeto</t>
  </si>
  <si>
    <t>HID, SDAI, ELE, UTI</t>
  </si>
  <si>
    <t xml:space="preserve">Agua fria não executada - rever / SDAI não estava no Augin / Eletrocalha não executada - rever no 4º Pavimento /não executado ou modificado - rever em campo </t>
  </si>
  <si>
    <t>Jateamento</t>
  </si>
  <si>
    <t>Levemente deslocado</t>
  </si>
  <si>
    <t>Tubulação de água fria executada quase rente à laje. Previsto em projeto bem mais abaixo e com desvios das instalações</t>
  </si>
  <si>
    <t>Descida de água com desvios diferentes do previsto</t>
  </si>
  <si>
    <t>Executada em altura mais alta que a prevista em projeto</t>
  </si>
  <si>
    <t>Executado rente à laje e com algumas divergências do projeto</t>
  </si>
  <si>
    <t>ELE, ESG, UTI</t>
  </si>
  <si>
    <t>Modelos de Elétrica e Esgoto devem ser refeitos, Ar comprimido vermelho não executado ainda</t>
  </si>
  <si>
    <t>Tubulação de esgoto executada deslocada do previsto e sem desvios</t>
  </si>
  <si>
    <t>Tubulações de ar comprimido (verdes) executadas uma em cima da outra (projeto lado a lado)</t>
  </si>
  <si>
    <t>Tubulação executada rente ao pilar</t>
  </si>
  <si>
    <t>Desvio de desnível da eletrocalha invertido</t>
  </si>
  <si>
    <t>Desvio divergente do projeto (projeto: dutos sobem em L e executado: dutos sobem em diagonal)</t>
  </si>
  <si>
    <t>Duto laranja executado a cima do azul (projeto preva lado a lado)</t>
  </si>
  <si>
    <t>MET</t>
  </si>
  <si>
    <t>Vigas de suporte para forro caminhável não previstas em projeto</t>
  </si>
  <si>
    <t>ETE</t>
  </si>
  <si>
    <t>Casa de Química</t>
  </si>
  <si>
    <t>Estoque</t>
  </si>
  <si>
    <t>Escritório</t>
  </si>
  <si>
    <t>Sala P/ Caçamba</t>
  </si>
  <si>
    <t>Sala P/ Prensa</t>
  </si>
  <si>
    <t>statusRA</t>
  </si>
  <si>
    <t>Rever em campo</t>
  </si>
  <si>
    <t>Restaurante Circular</t>
  </si>
  <si>
    <t>Sala Integração</t>
  </si>
  <si>
    <t>Sala Treinamento Prático</t>
  </si>
  <si>
    <t>Montagem de Instrumental</t>
  </si>
  <si>
    <t>Todas</t>
  </si>
  <si>
    <t>Revisar modelos</t>
  </si>
  <si>
    <t xml:space="preserve">Acesso Colaboradores </t>
  </si>
  <si>
    <t>Montagem de Implantes Neoporos</t>
  </si>
  <si>
    <t>Laje Técnica Coberta Eixo A</t>
  </si>
  <si>
    <t>Laje Técnica Coberta Eixo J</t>
  </si>
  <si>
    <t>Terraço Técnico Eixo A-1</t>
  </si>
  <si>
    <t>Rever após instaladas</t>
  </si>
  <si>
    <t>Revisão do modelo PCI</t>
  </si>
  <si>
    <t>Revisado PCI apenas</t>
  </si>
  <si>
    <t>Tubulações em nível diferento do projetado</t>
  </si>
  <si>
    <t xml:space="preserve">Tubulações deslocadas </t>
  </si>
  <si>
    <t>Tubulação de esgoto divergente</t>
  </si>
  <si>
    <t>Tubulação de agua fria executada em nível diferente do projeto e com desvio diferente</t>
  </si>
  <si>
    <t>Bicos de sprinkler em posição diferente</t>
  </si>
  <si>
    <t>Tubulações sprinkler deslocadas</t>
  </si>
  <si>
    <t>Desvio não previsto em projeto</t>
  </si>
  <si>
    <t>Não há infra prevista nas canaletas do piso</t>
  </si>
  <si>
    <t>Higien Caixas, Residuos Recicláveis, C.F. Resíduos Orgânicos, DML</t>
  </si>
  <si>
    <t>Circulação e Hall</t>
  </si>
  <si>
    <t>Dutos executados diferente por interferência de projeto</t>
  </si>
  <si>
    <t>Dutos executados a cima do previsto em projeto.</t>
  </si>
  <si>
    <t>Dutos executados deslocados do previsto em projeto.</t>
  </si>
  <si>
    <t>Vestiário Feminino - Banheiros</t>
  </si>
  <si>
    <t>Administrativo</t>
  </si>
  <si>
    <t>Tubulação de esgoto com deslocamento em planta</t>
  </si>
  <si>
    <t>Tubulação de pci executada acima dos painéis</t>
  </si>
  <si>
    <t>Tubulação de pci executada com deslocamento considerável em planta</t>
  </si>
  <si>
    <t>Hidrante deslocado - CR6 com mudança de posição da porta</t>
  </si>
  <si>
    <t>Eletrocalhas deslocadas, executadas acima do nível previsto e sem desvios</t>
  </si>
  <si>
    <t>Perfilados executados acima do nível previsto e sem desvios</t>
  </si>
  <si>
    <t>Dutos de climatização executados acima do previsto em projeto</t>
  </si>
  <si>
    <t>Eletrocalha na circulação com deslocamento em planta</t>
  </si>
  <si>
    <t>Descida de dutos deslocada - CR6</t>
  </si>
  <si>
    <t>Tubulação de ar comprimido deslocada no corredor e executada em nível acima do previsto</t>
  </si>
  <si>
    <t>Tubulação de esgoto executada divergente do projeto</t>
  </si>
  <si>
    <t>Tubulação de pci sem desvio e nível acima do projetado</t>
  </si>
  <si>
    <t>Dutos atravessam o painel para a sala seguinte. Executada uma descida</t>
  </si>
  <si>
    <t>Duto menor em comprimento que o previsto em projeto (Sala de Reunião)</t>
  </si>
  <si>
    <t>Executado divergente do projetado</t>
  </si>
  <si>
    <t>Tubulação de ar comprimido executado mais alto que o previsto (mais próximo a laje)</t>
  </si>
  <si>
    <t>Eletrocalha executada acima do duto de climatização</t>
  </si>
  <si>
    <t>EST</t>
  </si>
  <si>
    <t>Prever aberturas para passagem dos dutos de climatização</t>
  </si>
  <si>
    <t>Prever as vigas metálicas de reforço para a estrutura</t>
  </si>
  <si>
    <t>Executado divergente e em nível acima do projetado</t>
  </si>
  <si>
    <t>ARQ</t>
  </si>
  <si>
    <t>Painéis do Estoque Pre Set executados até o fundo da laje (modelo prevê com altura menor)</t>
  </si>
  <si>
    <t>Curva da tubulação de esgoto dentro do Estoque Pre Set diferente do projeto</t>
  </si>
  <si>
    <t>Descida da tubulação de esgoto executada com inclinação (projetado descida 90º)</t>
  </si>
  <si>
    <t>Ponto de ralo (furo na laje) previsto na sala não executado - feito na sala ao lado. Tubulação atravessa o painel</t>
  </si>
  <si>
    <t>Dutos levemente deslocados e executados rente à laje</t>
  </si>
  <si>
    <t>Federado</t>
  </si>
  <si>
    <t>LIBERADO TRACKER</t>
  </si>
  <si>
    <t>Planta QR code</t>
  </si>
  <si>
    <t>Plastificado?</t>
  </si>
  <si>
    <t>LIBERADO PARA OBRA</t>
  </si>
  <si>
    <t>Tracker</t>
  </si>
  <si>
    <t>OneDrive</t>
  </si>
  <si>
    <t>Augin</t>
  </si>
  <si>
    <t>Manutenção e Circulação</t>
  </si>
  <si>
    <t>Modelo Base</t>
  </si>
  <si>
    <t>Responsável</t>
  </si>
  <si>
    <t>IFC</t>
  </si>
  <si>
    <t>Revit</t>
  </si>
  <si>
    <t>Coluna2</t>
  </si>
  <si>
    <t>Coluna3</t>
  </si>
  <si>
    <t>Número</t>
  </si>
  <si>
    <t>Modelo Final</t>
  </si>
  <si>
    <t>Entregas Parciais</t>
  </si>
  <si>
    <t>Implantação</t>
  </si>
  <si>
    <t>Arquitetura</t>
  </si>
  <si>
    <t>NEO-23001-PE-00-ARQ-MO-IMPL1-R00</t>
  </si>
  <si>
    <t>Thá / Stecla</t>
  </si>
  <si>
    <t>NEO-23001-AS-ARQ-001-IMPL1-R00</t>
  </si>
  <si>
    <t>Terraplanagem</t>
  </si>
  <si>
    <t>NEO-23001-PE-01-TER-MO-001-R08</t>
  </si>
  <si>
    <t>NEO-23001-AS-TER-001-IMPL1-R00</t>
  </si>
  <si>
    <t>Pavimentação</t>
  </si>
  <si>
    <t>NEO-23001-AS-PAV-001-IMPL1-R00</t>
  </si>
  <si>
    <t>NEO-23001-PE-01-PAV-MO-002-R10</t>
  </si>
  <si>
    <t>NEO-23001-AS-DRE-001-IMPL1-R00</t>
  </si>
  <si>
    <t>Drenagem</t>
  </si>
  <si>
    <t>NEO-23001-PE-01-DRE-MO-001-R06</t>
  </si>
  <si>
    <t>Prédio Produção</t>
  </si>
  <si>
    <t>Prédio Suporte</t>
  </si>
  <si>
    <t>Central de Utilidades</t>
  </si>
  <si>
    <t>Mobiliário</t>
  </si>
  <si>
    <t>NEO-23001-PE-00-ARQ-MO-PORT1-R00</t>
  </si>
  <si>
    <t>NEO-23001-AS-ARQ-001-PORT1-R00</t>
  </si>
  <si>
    <t>NEO-23001-PE-00-ARQ-MO-SEDE1-R00</t>
  </si>
  <si>
    <t>NEO-23001-AS-ARQ-001-SEDE1-R00</t>
  </si>
  <si>
    <t>NEO-23001-PE-00-ARQ-MO-CUE1-R03a</t>
  </si>
  <si>
    <t>Arquitetura da Central de Utilidades</t>
  </si>
  <si>
    <t>Arquitetura do Pátio de Utilidades</t>
  </si>
  <si>
    <t>NEO-23001-PE-00-ARQ-MO-PUE1-R00a</t>
  </si>
  <si>
    <t>NEO-23001-AS-ARQ-001-CUE1-R00</t>
  </si>
  <si>
    <t>NEO-23001-AS-ARQ-001-PUE1-R00</t>
  </si>
  <si>
    <t>NEO-23001-PE-00-ARQ-STC-SUPO1-R06</t>
  </si>
  <si>
    <t>NEO-23001-AS-ARQ-001-SUPO1-R00</t>
  </si>
  <si>
    <t>NEO-23001-PE-00-ARQ-MO-PROD1-R07</t>
  </si>
  <si>
    <t>NEO-23001-AS-ARQ-001-PROD1-R00</t>
  </si>
  <si>
    <t>NEO-23001-PE-00-ARQ-MF-MOB-R06a</t>
  </si>
  <si>
    <t>NEO-23001-AS-MOB-001-PROD1-R00</t>
  </si>
  <si>
    <t>SPN-CON-00-PE-000-R03</t>
  </si>
  <si>
    <t>Fundação</t>
  </si>
  <si>
    <t>Estrutura de Concreto</t>
  </si>
  <si>
    <t>NEO-23001-PE-CON-106-IFC-R02</t>
  </si>
  <si>
    <t>NEO-23001-AS-CON-001-PORT1-R00</t>
  </si>
  <si>
    <t>Descrição do Modelo Base</t>
  </si>
  <si>
    <t>Descrição do Modelo As Built</t>
  </si>
  <si>
    <t>NEO-23001-PE-CON-200-MOD-R01</t>
  </si>
  <si>
    <t>Estrutura Central de Vapor</t>
  </si>
  <si>
    <t>NEO-23001-AS-CON-001-PUE1-R00</t>
  </si>
  <si>
    <t>NEO-23001-PE-500-CON-MO-CUE1-R01</t>
  </si>
  <si>
    <t>Estrutura Subestação 03</t>
  </si>
  <si>
    <t>Estrutura Escadas, Bancos, Coberturas</t>
  </si>
  <si>
    <t>NEO-23001-AS-CON-001-IMPL1-R00</t>
  </si>
  <si>
    <t>NEO-23001-PE-CON-301-ESCADA</t>
  </si>
  <si>
    <t>NEO-23001-PE-CON-201-DOCA_R01</t>
  </si>
  <si>
    <t>Estrutura Doca</t>
  </si>
  <si>
    <t>Contenção Prédio Produção</t>
  </si>
  <si>
    <t>NEO-23001-AS-FUN-001-PROD1-R00</t>
  </si>
  <si>
    <t>NEO-23001-AS-CON-001-PROD1-R00</t>
  </si>
  <si>
    <t>Modelo de Projeto</t>
  </si>
  <si>
    <t>NEO-23001-PE-CON-001-EST CON REPOSICIONADO-R00</t>
  </si>
  <si>
    <t>NEO-23001-AS-CON-001-SUPO1-R00</t>
  </si>
  <si>
    <t>NEO-23001-PE-CON-002-EST CON SUPORTE REPOSICIONADO-R00</t>
  </si>
  <si>
    <t>NEO-23001-PE-CON-500-IFC-R01</t>
  </si>
  <si>
    <t>NEO-23001-AS-CON-001-SEDE1-R00</t>
  </si>
  <si>
    <t>NEO-23001-EX-EPF-050-BIM-R00</t>
  </si>
  <si>
    <t>Estrutura Central de Utilidades</t>
  </si>
  <si>
    <t>NEO-23001-AS-CON-001-CUE1-R00</t>
  </si>
  <si>
    <t xml:space="preserve">Estrutura Caixas </t>
  </si>
  <si>
    <t>NEO-23001-PE-CON-101-CAIXAS-R01</t>
  </si>
  <si>
    <t>Estrutura Base Reservatório</t>
  </si>
  <si>
    <t>NEO-23001-PE-CON-501-RESERV_R00</t>
  </si>
  <si>
    <t>1589-POCO-VISITA-NEODENT-EXECUTIVO</t>
  </si>
  <si>
    <t>Estrutura Poço de Visita</t>
  </si>
  <si>
    <t>AeB</t>
  </si>
  <si>
    <t>NEO-23001-PE-00-MET-MO-001-R14</t>
  </si>
  <si>
    <t>Estrutura Metálica</t>
  </si>
  <si>
    <t>NEO-23001-AS-MET-001-PROD1-R00</t>
  </si>
  <si>
    <t>Passarelas para instalações</t>
  </si>
  <si>
    <t>NEO-23001-PE-00-MET-MO-006-R00</t>
  </si>
  <si>
    <t>NEO-23001-PE-00-MET-MO-007-R00</t>
  </si>
  <si>
    <t>NEO-23001-AS-MET-001-SEDE1-R00</t>
  </si>
  <si>
    <t>NEO-23001-PE-00-MET-MO-002-R04</t>
  </si>
  <si>
    <t>NEO-23001-AS-MET-001-SUPO1-R00</t>
  </si>
  <si>
    <t>NEO-23001-PE-00-MET-MO-003-R03</t>
  </si>
  <si>
    <t>NEO-23001-PE-00-MET-MO-031-R02</t>
  </si>
  <si>
    <t>Modelo de Projeto - Mezanino Central de Vapor</t>
  </si>
  <si>
    <t>Modelo de Projeto - Telhado Central de Utilidades</t>
  </si>
  <si>
    <t>NEO-23001-AS-MET-001-PORT1-R00</t>
  </si>
  <si>
    <t>NEO-23001-AS-MET-001-CUE1-R00</t>
  </si>
  <si>
    <t>NEO-23001-AS-MET-001-PUE1-R00</t>
  </si>
  <si>
    <t>NEO-23001-PE-00-MET-MO-008-R02</t>
  </si>
  <si>
    <t>Estrutura metálica Cobertura entre Prédios</t>
  </si>
  <si>
    <t>NEO-23001-AS-MET-001-IMPL1-R00</t>
  </si>
  <si>
    <t>NEO-23001-PE-00-MET-MO-004-R02</t>
  </si>
  <si>
    <t>Instalações Elétricas</t>
  </si>
  <si>
    <t>NEO.ELE.00-PE-R06</t>
  </si>
  <si>
    <t>Ocle</t>
  </si>
  <si>
    <t>Quinzenal</t>
  </si>
  <si>
    <t>NEO-23001-PE-ELE-001-MOD SUPORTE-R06</t>
  </si>
  <si>
    <t>NEO-23001-AS-ELE-001-SUPO1-R00</t>
  </si>
  <si>
    <t>NEO-23001-PE-ELE-001-MOD UTILIDADES-R04</t>
  </si>
  <si>
    <t>NEO-23001-AS-ELE-001-CUE1-R00</t>
  </si>
  <si>
    <t>NEO-23001-PE-ELE-001-MOD PRODUCAO-R08</t>
  </si>
  <si>
    <t>NEO-23001-AS-ELE-001-PROD1-R00</t>
  </si>
  <si>
    <t>NEO-23001-PE-ELE-001-MOD PORTARIA-R01</t>
  </si>
  <si>
    <t>NEO-23001-AS-ELE-001-PORT1-R00</t>
  </si>
  <si>
    <t>NEO-23001-PE-ELE-001-MOD RECREACAO-R00</t>
  </si>
  <si>
    <t>NEO-23001-AS-ELE-001-SEDE1-R00</t>
  </si>
  <si>
    <t>NEO-23001-PE-LOG-001-MOD IMPLANTACAO-R05</t>
  </si>
  <si>
    <t>CFTV e Lógica</t>
  </si>
  <si>
    <t>NEO-23001-AS-LOG-001-IMPL1-R00</t>
  </si>
  <si>
    <t>NEO-23001-AS-ELE-001-IMPL1-R00</t>
  </si>
  <si>
    <t>NEO-23001-PE-LOG-001-MOD PRODUCAO-R03</t>
  </si>
  <si>
    <t>NEO-23001-AS-LOG-001-PROD1-R00</t>
  </si>
  <si>
    <t>NEO-23001-PE-LOG-001-MOD SUPORTE-R06</t>
  </si>
  <si>
    <t>NEO-23001-AS-LOG-001-SUPO1-R00</t>
  </si>
  <si>
    <t>NEO-23001-PE-TEL-001-MOD PORTARIA-R03</t>
  </si>
  <si>
    <t>NEO-23001-AS-LOG-001-PORT1-R00</t>
  </si>
  <si>
    <t>NEO-23001-PE-TEL-001-MOD RECREACAO-R00</t>
  </si>
  <si>
    <t>NEO-23001-AS-LOG-001-SEDE1-R00</t>
  </si>
  <si>
    <t>NEO-23001-PE-TEL-001-MOD UTILIDADES-R00</t>
  </si>
  <si>
    <t>NEO-23001-AS-LOG-001-CUE1-R00</t>
  </si>
  <si>
    <t>NEO-23001-PE-00-HID-MO-PORT1-R00</t>
  </si>
  <si>
    <t>Instalações Hidrossanitárias</t>
  </si>
  <si>
    <t>NEO-23001-AS-HID-001-PORT1-R00</t>
  </si>
  <si>
    <t>NEO-23001-PE-16-HID-MO-003-R05</t>
  </si>
  <si>
    <t>NEO-23001-AS-HID-001-CUE1-R00</t>
  </si>
  <si>
    <t>NEO-23001-PE-16-HID-MO-004-R09</t>
  </si>
  <si>
    <t>NEO-23001-PE-16-HID-MO-005-R06</t>
  </si>
  <si>
    <t>NEO-23001-AS-HID-001-SUPO1-R00</t>
  </si>
  <si>
    <t>NEO-23001-AS-HID-002-SUPO1-R00</t>
  </si>
  <si>
    <t>NEO-23001-PE-00-HID-MO-SEDE1-R01</t>
  </si>
  <si>
    <t>NEO-23001-PE-01-HID-MO-SEDE1-R03</t>
  </si>
  <si>
    <t>NEO-23001-AS-HID-001-SEDE1-R00</t>
  </si>
  <si>
    <t>NEO-23001-AS-HID-002-SEDE1-R00</t>
  </si>
  <si>
    <t>NEO-23001-EX-EPF-001-PASSARELA-R00_REPOSICIONADO</t>
  </si>
  <si>
    <t>NEO-23001-AS-MET-002-PROD1-R00</t>
  </si>
  <si>
    <t>NEO-23001-PE-16-HID-MO-001-R22</t>
  </si>
  <si>
    <t>NEO-23001-PE-16-HID-MO-002-R17</t>
  </si>
  <si>
    <t>NEO-23001-AS-HID-001-PROD1-R00</t>
  </si>
  <si>
    <t>NEO-23001-AS-HID-002-PROD1-R00</t>
  </si>
  <si>
    <t>Esgoto</t>
  </si>
  <si>
    <t>Agua Fria</t>
  </si>
  <si>
    <t>NEO-23001-PE-16-PCI-MO-004-R07</t>
  </si>
  <si>
    <t>NEO-23001-AS-PCI-001-SUPO1-R00</t>
  </si>
  <si>
    <t>NEO-23001-PE-16-PCI-MO-001-R16</t>
  </si>
  <si>
    <t>NEO-23001-PE-16-PCI-MO-002-R17</t>
  </si>
  <si>
    <t>Hidrantes e Sinalização</t>
  </si>
  <si>
    <t>Sprinklers</t>
  </si>
  <si>
    <t>NEO-23001-AS-PCI-001-PROD1-R00</t>
  </si>
  <si>
    <t>NEO-23001-AS-PCI-002-PROD1-R00</t>
  </si>
  <si>
    <t>NEO-23001-PE-16-PCI-MO-003-R04</t>
  </si>
  <si>
    <t>NEO-23001-AS-PCI-001-CUE1-R00</t>
  </si>
  <si>
    <t>NEO-23001-PE-00-PCI-MO-SEDE1-R02</t>
  </si>
  <si>
    <t>NEO-23001-AS-PCI-001-SEDE1-R00</t>
  </si>
  <si>
    <t>NEO-23001-PE-CLI-000-MODELO_IFC-R00</t>
  </si>
  <si>
    <t>Climatização</t>
  </si>
  <si>
    <t>NEO-23001-AS-CLI-001-PORT1-R00</t>
  </si>
  <si>
    <t>NEO-23001-PE-CLI-000-R20</t>
  </si>
  <si>
    <t>NEO-23001-AS-CLI-001-PROD1-R00</t>
  </si>
  <si>
    <t>NEO-23001-PE-CLI-000-MODELO_IFC-R03</t>
  </si>
  <si>
    <t>NEO-23001-AS-CLI-001-SUPO1-R00</t>
  </si>
  <si>
    <t>NEO-23001-PE-CLI-000-R00</t>
  </si>
  <si>
    <t>NEO-23001-AS-CLI-001-CUE1-R00</t>
  </si>
  <si>
    <t>NEO-23001-PE-CLI-000-MODELO_IFC-R01</t>
  </si>
  <si>
    <t>NEO-23001-AS-CLI-001-SEDE1-R00</t>
  </si>
  <si>
    <t>Sala Limpa</t>
  </si>
  <si>
    <t>NEO-23001-PE-29-ARQ-MO-000-R04</t>
  </si>
  <si>
    <t>NEO-23001-PE-29-ELE-MO-000-R03</t>
  </si>
  <si>
    <t>NEO-23001-PE-29-CLI-MO-000-R06</t>
  </si>
  <si>
    <t>NEO-23001-AS-CLI-002-PROD1-R00</t>
  </si>
  <si>
    <t>Piso de Concreto</t>
  </si>
  <si>
    <t>SPN.PIS.02.PE.001.R02-Pav. Térreo</t>
  </si>
  <si>
    <t>SPN.PIS.02.PE.002.R02-2º Pavimento</t>
  </si>
  <si>
    <t>NEO-23001-AS-PIS-001-PROD1 TER-R00</t>
  </si>
  <si>
    <t>NEO-23001-AS-PIS-002-PROD1 2PAV-R00</t>
  </si>
  <si>
    <t>SPN.PIS.03.PE.003.R01-Pav.Térreo</t>
  </si>
  <si>
    <t>NEO-23001-AS-PIS-001-SUPO1-R00</t>
  </si>
  <si>
    <t>SPN.PIS.05.PE.004.R01-Pav.Térreo</t>
  </si>
  <si>
    <t>NEO-23001-AS-PIS-001-CUE1-R00</t>
  </si>
  <si>
    <t>SPN.PIS.01.PE.005.R02-Pav.Térreo</t>
  </si>
  <si>
    <t>NEO-23001-AS-PIS-001-PORT1-R00</t>
  </si>
  <si>
    <t>SPN.PIS.04.PE.008.R00-Pav.Térreo</t>
  </si>
  <si>
    <t>NEO-23001-AS-PIS-001-SEDE1-R00</t>
  </si>
  <si>
    <t>Utilidades</t>
  </si>
  <si>
    <t>NEO-23001-PE-17-UTI-MO-004-R01</t>
  </si>
  <si>
    <t>Projeto de Gas - Prédio Suporte</t>
  </si>
  <si>
    <t>NEO-23001-AS-UTI-001-PROD1-R00</t>
  </si>
  <si>
    <t>NEO-23001-AS-UTI-001-SUPO1-R00</t>
  </si>
  <si>
    <t>NEO-23001-PE-17-UTI-MO-001-R25</t>
  </si>
  <si>
    <t>Lavagem de Gases</t>
  </si>
  <si>
    <t>NEO-23001-AS-LPG-001-PROD1-R00</t>
  </si>
  <si>
    <t>NEO-23001-PB-LPG-003-LAVADOR DE GASES-R09-E</t>
  </si>
  <si>
    <t>SPDA</t>
  </si>
  <si>
    <t>NEO-23001-PE-SPD-001-MOD IMP-R01</t>
  </si>
  <si>
    <t>NEO-23001-AS-SPD-001-IMPL1-R00</t>
  </si>
  <si>
    <t>NEO-23001-PE-SPD-001-MOD PRODUCAO-R02</t>
  </si>
  <si>
    <t>NEO-23001-AS-SPD-001-PROD1-R00</t>
  </si>
  <si>
    <t>NEO-23001-PE-SPD-001-MOD SUPORTE-R01</t>
  </si>
  <si>
    <t>NEO-23001-AS-SPD-001-SUPO1-R00</t>
  </si>
  <si>
    <t>NEO.SPDA.04-PE.001-R01-MOD</t>
  </si>
  <si>
    <t>NEO-23001-AS-SPD-001-CUE1-R00</t>
  </si>
  <si>
    <t>NEO-23001-AS-SPD-001-PORT1-R00</t>
  </si>
  <si>
    <t>NEO-23001-SPDA-006-MOD-POR-R00</t>
  </si>
  <si>
    <t>NEO-23001-AS-SPD-001-SEDE1-R00</t>
  </si>
  <si>
    <t>NEO-23001-SPDA-005-MOD-REC-R00</t>
  </si>
  <si>
    <t>Rede de Químicos</t>
  </si>
  <si>
    <t>Projeto Hidromecanicos</t>
  </si>
  <si>
    <t>Modelo Civil</t>
  </si>
  <si>
    <t>NEO-23001-AS-RQM-001-PROD1-R00</t>
  </si>
  <si>
    <t>Civil</t>
  </si>
  <si>
    <t>SEA.MEC.01.3D-001_R00</t>
  </si>
  <si>
    <t>NEO-23001-PE-SDA-001-MOD IMPLANTAÇÃO-R02</t>
  </si>
  <si>
    <t>NEO-23001-AS-SDA-001-IMPL1-R00</t>
  </si>
  <si>
    <t>NEO-23001-AS-SDA-001-PROD1-R00</t>
  </si>
  <si>
    <t>NEO-23001-PE-SDA-004-MOD SUPORTE-R03</t>
  </si>
  <si>
    <t>NEO-23001-AS-SDA-001-SUPO1-R00</t>
  </si>
  <si>
    <t>NEO-23001-PE-SDA-003-MOD PRODUCAO-R04</t>
  </si>
  <si>
    <t>NEO-23001-PE-SDA-005-MOD PORTARIA-R02</t>
  </si>
  <si>
    <t>NEO-23001-AS-SDA-001-PORT1-R00</t>
  </si>
  <si>
    <t>NEO-23001-PE-SDA-006-MOD UTILIDADES-R02</t>
  </si>
  <si>
    <t>NEO-23001-AS-SDA-001-CUE1-R00</t>
  </si>
  <si>
    <t>NEO-23001-PE-AVA-001-BIM-R08</t>
  </si>
  <si>
    <t>Audio e Video</t>
  </si>
  <si>
    <t>NEO-23001-AS-AVA-001-SUPO1-R00</t>
  </si>
  <si>
    <t>Média Tensão e Barramentos</t>
  </si>
  <si>
    <t>NEO-23001-AS-ELEMT-001-PROD1-R00</t>
  </si>
  <si>
    <t>NEO-23001-PE-ELEMT-001-SE-R01</t>
  </si>
  <si>
    <t>Automação</t>
  </si>
  <si>
    <t>NEO-23001-PE-AUT-001-MOD-IMPLANTAÇÃO-R00</t>
  </si>
  <si>
    <t>NEO-23001-AS-AUT-001-IMPL1-R00</t>
  </si>
  <si>
    <t>NEO-23001-PE-AUT-002-MOD-PRODUCAO-R02</t>
  </si>
  <si>
    <t>NEO-23001-AS-AUT-001-PROD1-R00</t>
  </si>
  <si>
    <t>NEO-23001-PE-AUT-003-MOD-SUPORTE-R00</t>
  </si>
  <si>
    <t>NEO-23001-AS-AUT-001-SUPO1-R00</t>
  </si>
  <si>
    <t>NEO-23001-PE-AUT-005-MOD-UTILIDADES-R00</t>
  </si>
  <si>
    <t>NEO-23001-AS-AUT-001-CUE1-R00</t>
  </si>
  <si>
    <t>NEO-23001-PE-AUT-004-MOD-PORTARIA-R00</t>
  </si>
  <si>
    <t>NEO-23001-AS-AUT-001-PORT1-R00</t>
  </si>
  <si>
    <t>Câmara Fria</t>
  </si>
  <si>
    <t>NEO-23001-PE-CFI-000-MODELO_RVT-R03</t>
  </si>
  <si>
    <t>NEO-23001-AS-CFI-001-SUPO1-R00</t>
  </si>
  <si>
    <t>367 (ETE)-BIM-R00</t>
  </si>
  <si>
    <t>NEO-23001-AS-CON-001-ETE1-R00</t>
  </si>
  <si>
    <t>NEO-23001-PE-00-ARQ-MO-ETE1-R02</t>
  </si>
  <si>
    <t>NEO-23001-AS-ARQ-001-ETE1-R00</t>
  </si>
  <si>
    <t>Rede Hidráulica</t>
  </si>
  <si>
    <t>NEO-23001-PE-HID-001-INFRA-R02</t>
  </si>
  <si>
    <t>NEO-23001-AS-HID-001-ETE1-R00</t>
  </si>
  <si>
    <t>NEO-23001-PE-ELE-001-ELÉTRICO-R03</t>
  </si>
  <si>
    <t>NEO-23001-PE-ELE-003-DADOS-R01</t>
  </si>
  <si>
    <t>NEO-23001-PE-ELE-004-SPDA-R01</t>
  </si>
  <si>
    <t>NEO-23001-PE-ELE-002-IL_TOM-R01</t>
  </si>
  <si>
    <t>Elétrica - Iluminação e Tomadas</t>
  </si>
  <si>
    <t>NEO-23001-AS-ELE-001-ETE1-R00</t>
  </si>
  <si>
    <t>NEO-23001-AS-ELE-002-ETE1-R00</t>
  </si>
  <si>
    <t>NEO-23001-AS-SPD-001-ETE1-R00</t>
  </si>
  <si>
    <t>NEO-23001-AS-LOG-001-ETE1-R00</t>
  </si>
  <si>
    <t>NEO-23001-PE-MET-001-PIPE RACK-R03</t>
  </si>
  <si>
    <t>NEO-23001-AS-MET-001-ETE1-R00</t>
  </si>
  <si>
    <t>NEO-23001-PE-DRE-001-INFRA-R00</t>
  </si>
  <si>
    <t>NEO-23001-AS-DRE-001-ETE1-R00</t>
  </si>
  <si>
    <t>NEO-23001-PE-PCI-001-INFRA-R01</t>
  </si>
  <si>
    <t>NEO-23001-AS-PCI-001-ETE1-R00</t>
  </si>
  <si>
    <t>NEO-23001-PE-MEC-001-INFRA-R01</t>
  </si>
  <si>
    <t>NEO-23001-AS-CLI-001-ETE1-R00</t>
  </si>
  <si>
    <t>NEO-23001-PE-PAV-001-MODELO-R00</t>
  </si>
  <si>
    <t>NEO-23001-AS-PAV-001-ETE1-R00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</si>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</sst>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3" xfId="0" applyFont="1" applyFill="1" applyBorder="1"/>
    <xf numFmtId="14" fontId="0" fillId="0" borderId="8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4" xfId="0" applyFill="1" applyBorder="1" applyAlignment="1">
      <alignment wrapText="1"/>
    </xf>
    <xf numFmtId="0" fontId="0" fillId="0" borderId="6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1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/>
    <xf numFmtId="0" fontId="3" fillId="0" borderId="11" xfId="0" applyFont="1" applyBorder="1"/>
    <xf numFmtId="0" fontId="4" fillId="0" borderId="11" xfId="0" applyFont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0" fontId="0" fillId="0" borderId="1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2" xfId="0" applyBorder="1" applyAlignment="1">
      <alignment horizontal="left" vertical="center"/>
    </xf>
    <xf numFmtId="14" fontId="0" fillId="0" borderId="12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3" xfId="0" applyBorder="1"/>
  </cellXfs>
  <cellStyles count="1">
    <cellStyle name="Normal" xfId="0" builtinId="0"/>
  </cellStyles>
  <dxfs count="119">
    <dxf>
      <fill>
        <patternFill>
          <bgColor theme="0" tint="-0.24994659260841701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D2A000"/>
      </font>
      <fill>
        <patternFill>
          <bgColor rgb="FFFFFFB9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D2A000"/>
      </font>
      <fill>
        <patternFill>
          <bgColor rgb="FFFFFFB9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D2A000"/>
      </font>
      <fill>
        <patternFill>
          <bgColor rgb="FFFFFFB9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D2A000"/>
      </font>
      <fill>
        <patternFill>
          <bgColor rgb="FFFFFFB9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6" tint="-0.24994659260841701"/>
      </font>
      <fill>
        <patternFill>
          <bgColor theme="9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D2A000"/>
      </font>
      <fill>
        <patternFill>
          <bgColor rgb="FFFFFFB9"/>
        </patternFill>
      </fill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outline="0">
        <top style="thin">
          <color rgb="FF808080"/>
        </top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>
        <bottom style="thin">
          <color theme="0" tint="-0.499984740745262"/>
        </bottom>
      </border>
    </dxf>
    <dxf>
      <fill>
        <patternFill patternType="solid">
          <fgColor indexed="64"/>
          <bgColor rgb="FFC00000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outline="0">
        <top style="thin">
          <color theme="0" tint="-0.499984740745262"/>
        </top>
      </border>
    </dxf>
    <dxf>
      <border outline="0"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  <extLst>
        <ext xmlns:xfpb="http://schemas.microsoft.com/office/spreadsheetml/2022/featurepropertybag" uri="{0417FA29-78FA-4A13-93AC-8FF0FAFDF519}">
          <xfpb:DXFComplement i="1"/>
        </ext>
      </extLst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  <extLst>
        <ext xmlns:xfpb="http://schemas.microsoft.com/office/spreadsheetml/2022/featurepropertybag" uri="{0417FA29-78FA-4A13-93AC-8FF0FAFDF519}">
          <xfpb:DXFComplement i="1"/>
        </ext>
      </extLst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/>
        <horizontal/>
      </border>
    </dxf>
    <dxf>
      <border diagonalUp="0" diagonalDown="0" outline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/>
      </border>
    </dxf>
    <dxf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2" tint="-0.499984740745262"/>
        </vertical>
        <horizontal style="thin">
          <color theme="2" tint="-0.499984740745262"/>
        </horizontal>
      </border>
    </dxf>
    <dxf>
      <border outline="0">
        <top style="thin">
          <color rgb="FF808080"/>
        </top>
      </border>
    </dxf>
    <dxf>
      <border outline="0">
        <bottom style="thin">
          <color rgb="FF80808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</dxfs>
  <tableStyles count="1" defaultTableStyle="TableStyleMedium2" defaultPivotStyle="PivotStyleLight16">
    <tableStyle name="Estilo de Tabela 1" pivot="0" count="0" xr9:uid="{1927CBBB-E18D-4073-A343-1E27BE28780E}"/>
  </tableStyles>
  <colors>
    <mruColors>
      <color rgb="FFD2A000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Renata Vianna Küster" id="{879C4FDA-80C0-4811-9BFA-0AA03C6AECB9}" userId="S::renata.vianna@stecla.com.br::215ad297-71e9-4bd0-96c2-4976d0132cd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327300-CC3C-407B-B8DD-5A739EFBE9D6}" name="Tabela2" displayName="Tabela2" ref="A1:M198" totalsRowShown="0" headerRowDxfId="87" headerRowBorderDxfId="86" tableBorderDxfId="85">
  <autoFilter ref="A1:M198" xr:uid="{89327300-CC3C-407B-B8DD-5A739EFBE9D6}"/>
  <tableColumns count="13">
    <tableColumn id="15" xr3:uid="{7D9568F7-4B5E-4FD4-8B28-C13E7FFD3FF3}" name="Edificação" dataDxfId="84" totalsRowDxfId="83"/>
    <tableColumn id="1" xr3:uid="{F7FB418F-9982-4B93-9A60-8C2BB9C8E72C}" name="Pavimento" dataDxfId="82" totalsRowDxfId="81"/>
    <tableColumn id="2" xr3:uid="{B4C96B5B-7A2A-4417-AB4B-8622E83BE079}" name="Setor" dataDxfId="80" totalsRowDxfId="79"/>
    <tableColumn id="4" xr3:uid="{C06D8CB6-3BF0-4283-A0E3-A6CE445109F2}" name="Sala" dataDxfId="78" totalsRowDxfId="77"/>
    <tableColumn id="13" xr3:uid="{FAD0F492-31B2-47C9-8082-9F686CCBBFBB}" name="Número Sala" dataDxfId="76" totalsRowDxfId="75"/>
    <tableColumn id="11" xr3:uid="{4D2C3692-8E51-4112-ADF9-3D1920E3E630}" name="Augin?" dataDxfId="74" totalsRowDxfId="73"/>
    <tableColumn id="12" xr3:uid="{E297E078-292C-41C0-9B89-9C35229C476B}" name="statusRA" dataDxfId="72" totalsRowDxfId="71">
      <calculatedColumnFormula>IF(Tabela2[[#This Row],[Augin?]]=TRUE,"LIBERADO PARA OBRA","PENDENTE")</calculatedColumnFormula>
    </tableColumn>
    <tableColumn id="5" xr3:uid="{7E699E5C-0356-42D8-BD03-18D3C84CDA78}" name="Data Verificada" dataDxfId="70" totalsRowDxfId="69"/>
    <tableColumn id="6" xr3:uid="{3944B4A7-BFB6-48B5-B052-F14392C31ED5}" name="Faltou Disciplina?" dataDxfId="68" totalsRowDxfId="67"/>
    <tableColumn id="7" xr3:uid="{CB0A8C59-23BA-44A6-AC17-76C31EB9B062}" name="Revisar" dataDxfId="66" totalsRowDxfId="65"/>
    <tableColumn id="8" xr3:uid="{8F14842F-A65F-4200-B5D8-EF3B149659F0}" name="Obs" dataDxfId="64" totalsRowDxfId="63"/>
    <tableColumn id="9" xr3:uid="{DDDE3A8D-9555-47D3-9EFE-69C5A36F4AAF}" name="Data Verificada2" dataDxfId="62" totalsRowDxfId="61">
      <calculatedColumnFormula>IF(Tabela2[[#This Row],[Faltou Disciplina?]]="Não","-","")</calculatedColumnFormula>
    </tableColumn>
    <tableColumn id="10" xr3:uid="{69EC98DC-2550-424C-9B06-6FFA0812F757}" name="Obs2" dataDxfId="60" totalsRowDxfId="59">
      <calculatedColumnFormula>IF(Tabela2[[#This Row],[Faltou Disciplina?]]="Não","-","")</calculatedColumnFormula>
    </tableColumn>
  </tableColumns>
  <tableStyleInfo name="Estilo de Tabe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9E68C-9C2E-43E0-879E-185E53FC94D4}" name="Tabela1" displayName="Tabela1" ref="A1:H171" totalsRowShown="0" headerRowDxfId="58" headerRowBorderDxfId="57" tableBorderDxfId="56" totalsRowBorderDxfId="55">
  <autoFilter ref="A1:H171" xr:uid="{2A99E68C-9C2E-43E0-879E-185E53FC94D4}"/>
  <tableColumns count="8">
    <tableColumn id="7" xr3:uid="{A7B8CDB6-7918-46E2-857E-CD032F028E0B}" name="Data" dataDxfId="54"/>
    <tableColumn id="1" xr3:uid="{D650D09C-C5B3-4225-8E48-9BD6B0B51179}" name="Número Apontamento" dataDxfId="53">
      <calculatedColumnFormula>B1+1</calculatedColumnFormula>
    </tableColumn>
    <tableColumn id="6" xr3:uid="{721E49D2-85B8-4B6F-AD5E-EFADC88A065D}" name="Edificação" dataDxfId="52"/>
    <tableColumn id="2" xr3:uid="{D1F7F064-24C0-4B5E-8769-BF87C5FFE551}" name="Pavimento" dataDxfId="51"/>
    <tableColumn id="10" xr3:uid="{ED212761-B872-4889-A529-C9B25F4E1614}" name="Setor" dataDxfId="50"/>
    <tableColumn id="3" xr3:uid="{D4E2BAB1-B5D8-4D6C-BC89-59E9C299ED8A}" name="Sala" dataDxfId="49"/>
    <tableColumn id="4" xr3:uid="{BE901EF9-287E-4180-9EC3-15B5D57995FF}" name="Disciplina" dataDxfId="48"/>
    <tableColumn id="5" xr3:uid="{23B3997A-B065-4F3E-B273-84C735FE986D}" name="Divergência" dataDxfId="4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7FA3F5-A916-4206-A258-881AD9F208D0}" name="Tabela24" displayName="Tabela24" ref="A1:M199" totalsRowCount="1" headerRowDxfId="46" headerRowBorderDxfId="45" tableBorderDxfId="44">
  <autoFilter ref="A1:M198" xr:uid="{89327300-CC3C-407B-B8DD-5A739EFBE9D6}"/>
  <tableColumns count="13">
    <tableColumn id="15" xr3:uid="{A3CCA2E0-27C2-4426-9018-83535BCE2E85}" name="Edificação" dataDxfId="43" totalsRowDxfId="42"/>
    <tableColumn id="1" xr3:uid="{12528FA1-80D3-424F-ADA5-85D7481E81F5}" name="Pavimento" dataDxfId="41" totalsRowDxfId="40"/>
    <tableColumn id="2" xr3:uid="{0020D097-B4D2-4C8C-90C2-A4520B9FFB5C}" name="Setor" dataDxfId="39" totalsRowDxfId="38"/>
    <tableColumn id="4" xr3:uid="{83563B55-4F03-45AB-90A1-05F8EF018402}" name="Sala" totalsRowFunction="count" dataDxfId="37" totalsRowDxfId="36"/>
    <tableColumn id="13" xr3:uid="{38254022-CF3C-4EB4-B350-F0ED40A6395C}" name="Número Sala" dataDxfId="35" totalsRowDxfId="34"/>
    <tableColumn id="11" xr3:uid="{D91DC8CA-DBEA-4FA2-9D22-30A5DBC4E9A3}" name="OneDrive" dataDxfId="33" totalsRowDxfId="32"/>
    <tableColumn id="20" xr3:uid="{6CBAB748-D872-4C13-977C-87BF46F624C5}" name="Augin" dataDxfId="31" totalsRowDxfId="30"/>
    <tableColumn id="21" xr3:uid="{70ADE80E-CE80-451A-9407-F0C3A3D6D810}" name="Federado" dataDxfId="29" totalsRowDxfId="28"/>
    <tableColumn id="24" xr3:uid="{9222B36A-D9D3-4506-8284-ED1716AF8F78}" name="LIBERADO TRACKER" dataDxfId="27" totalsRowDxfId="26">
      <calculatedColumnFormula>IF(Tabela24[[#This Row],[Federado]]=TRUE,"LIBERADO TRACKER","PENDENTE")</calculatedColumnFormula>
    </tableColumn>
    <tableColumn id="27" xr3:uid="{34F48056-F06E-46F7-855E-B44149284624}" name="Tracker" dataDxfId="25" totalsRowDxfId="24"/>
    <tableColumn id="25" xr3:uid="{50374CE4-3C8E-415D-81A0-78A2324B7EB6}" name="Planta QR code" dataDxfId="23" totalsRowDxfId="22"/>
    <tableColumn id="26" xr3:uid="{AD48E9CE-D24A-41DF-B362-C63789D8F4FF}" name="Plastificado?" dataDxfId="21" totalsRowDxfId="20"/>
    <tableColumn id="12" xr3:uid="{5C5E365D-568B-4896-95FD-F3FB32F38F63}" name="LIBERADO PARA OBRA" dataDxfId="19" totalsRowDxfId="18">
      <calculatedColumnFormula>IF(Tabela24[[#This Row],[Planta QR code]]=TRUE,"LIBERADO PARA OBRA","PENDENTE")</calculatedColumnFormula>
    </tableColumn>
  </tableColumns>
  <tableStyleInfo name="Estilo de Tabe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EBAC63-582F-45A3-8773-6B37EAD74A69}" name="Tabela25" displayName="Tabela25" ref="A1:N115" totalsRowShown="0" headerRowDxfId="118" headerRowBorderDxfId="117" tableBorderDxfId="116">
  <autoFilter ref="A1:N115" xr:uid="{89327300-CC3C-407B-B8DD-5A739EFBE9D6}"/>
  <tableColumns count="14">
    <tableColumn id="15" xr3:uid="{EE264885-0BE2-4835-933C-04C0C8F707C1}" name="Número" dataDxfId="115" totalsRowDxfId="114"/>
    <tableColumn id="3" xr3:uid="{6372925E-5A6D-456C-8D57-955618D73EA9}" name="Edificação" dataDxfId="113" totalsRowDxfId="112"/>
    <tableColumn id="1" xr3:uid="{5DF51402-2F37-4800-BF7D-BC605316CE5A}" name="Disciplina" dataDxfId="111" totalsRowDxfId="110"/>
    <tableColumn id="2" xr3:uid="{34504ED5-E753-4E13-B7DB-970A98DF360A}" name="Modelo Base" dataDxfId="109" totalsRowDxfId="108"/>
    <tableColumn id="13" xr3:uid="{A864D2A3-7E02-40A4-A247-5CD5B8136F87}" name="IFC" dataDxfId="107" totalsRowDxfId="106"/>
    <tableColumn id="11" xr3:uid="{D29EA33B-1E01-40D2-A78C-185C5567022E}" name="Revit" dataDxfId="105" totalsRowDxfId="104"/>
    <tableColumn id="4" xr3:uid="{6A15C76D-FB5E-4F20-931F-D893C45C5859}" name="Descrição do Modelo Base" dataDxfId="103" totalsRowDxfId="102"/>
    <tableColumn id="12" xr3:uid="{E30F6C11-067D-48A1-853D-694B3DDFF18A}" name="Responsável" dataDxfId="101" totalsRowDxfId="100"/>
    <tableColumn id="5" xr3:uid="{5F9EAFA8-1DAC-42E1-B2B3-3BC6644FC367}" name="Entregas Parciais" dataDxfId="99" totalsRowDxfId="98"/>
    <tableColumn id="6" xr3:uid="{4A05637E-8DC0-46E5-90FB-1B2BC35CE9C9}" name="Modelo Final" dataDxfId="97" totalsRowDxfId="96"/>
    <tableColumn id="7" xr3:uid="{D96B85B8-E410-4267-B830-F56027506C11}" name="Descrição do Modelo As Built" dataDxfId="95" totalsRowDxfId="94"/>
    <tableColumn id="8" xr3:uid="{68820C9F-1C07-4C68-89A7-EF1333650643}" name="Coluna2" dataDxfId="93" totalsRowDxfId="92"/>
    <tableColumn id="9" xr3:uid="{8BAB54D3-6B1F-48E4-A2A9-C0B689697B5C}" name="Coluna3" dataDxfId="91" totalsRowDxfId="90"/>
    <tableColumn id="10" xr3:uid="{2E5096C6-71B6-465C-857E-3DA9ACFF9528}" name="Coluna1" dataDxfId="89" totalsRowDxfId="88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12-10T17:31:46.11" personId="{879C4FDA-80C0-4811-9BFA-0AA03C6AECB9}" id="{32880C02-947A-4CD7-964A-55EC8FFA9CC3}">
    <text>Ordem Augin e Miro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5-12-10T17:31:46.11" personId="{879C4FDA-80C0-4811-9BFA-0AA03C6AECB9}" id="{24BB044B-9592-46AB-B855-9B3591717D87}">
    <text>Ordem Augin e Miro</text>
  </threadedComment>
  <threadedComment ref="D63" dT="2026-03-02T17:37:00.01" personId="{879C4FDA-80C0-4811-9BFA-0AA03C6AECB9}" id="{90A17CFF-AED7-4119-8058-176C92C889C1}" done="1">
    <text>Faltou colocar ARQ - erro Augin</text>
  </threadedComment>
  <threadedComment ref="D71" dT="2026-03-02T18:26:31.35" personId="{879C4FDA-80C0-4811-9BFA-0AA03C6AECB9}" id="{1FA2E1F7-EEE0-4B91-B39A-30D1AEE0BB9B}" done="1">
    <text>Faltou EST</text>
  </threadedComment>
  <threadedComment ref="D92" dT="2026-03-02T18:53:57.09" personId="{879C4FDA-80C0-4811-9BFA-0AA03C6AECB9}" id="{D8FD21DD-6875-402C-8C69-5455BE47ED0E}" done="1">
    <text>Não está no Drive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dT="2025-12-10T17:31:46.11" personId="{879C4FDA-80C0-4811-9BFA-0AA03C6AECB9}" id="{6E5B4471-3C4D-4F78-B30A-CBFBCA8E462C}">
    <text>Ordem Augin e Miro</text>
  </threadedComment>
  <threadedComment ref="D9" dT="2026-03-10T17:11:04.97" personId="{879C4FDA-80C0-4811-9BFA-0AA03C6AECB9}" id="{9AF7A5E7-593B-47E0-AAE2-BC5C385FBB03}">
    <text>Avaliar se necessário as built</text>
  </threadedComment>
  <threadedComment ref="D46" dT="2026-03-10T16:40:00.54" personId="{879C4FDA-80C0-4811-9BFA-0AA03C6AECB9}" id="{B0B4C834-2225-4652-ADB3-DB9C27C919DC}">
    <text xml:space="preserve">STECLA ATUALIZOU
</text>
  </threadedComment>
  <threadedComment ref="D65" dT="2026-03-10T16:51:08.32" personId="{879C4FDA-80C0-4811-9BFA-0AA03C6AECB9}" id="{EC6CF2B1-DF84-4CFA-8D03-0854CDE05118}">
    <text>Revit na revisão R00 - rever</text>
  </threadedComment>
  <threadedComment ref="D66" dT="2026-03-10T16:53:38.62" personId="{879C4FDA-80C0-4811-9BFA-0AA03C6AECB9}" id="{DB7740D2-A99C-4D22-BE90-4EF000B3CB06}">
    <text>Revit na revisão R00 - rever</text>
  </threadedComment>
  <threadedComment ref="D81" dT="2026-03-10T16:48:36.12" personId="{879C4FDA-80C0-4811-9BFA-0AA03C6AECB9}" id="{4899B873-FF80-4B52-9C24-E22FC6A68E08}">
    <text>Revit na revisão R01 - rever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B6E05B1-1F02-46B7-B291-720952B3183B}">
  <we:reference id="WA200008867" version="2.0.0.0" store="Omex" storeType="OMEX"/>
  <we:alternateReferences>
    <we:reference id="WA200008867" version="2.0.0.0" store="WA20000886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467EE41A-D8DE-4FF3-B5C0-613770C24D87}">
  <we:reference id="WA200005502" version="1.0.0.12" store="en-US" storeType="omex"/>
  <we:alternateReferences>
    <we:reference id="WA200005502" version="1.0.0.12" store="en-US" storeType="omex"/>
  </we:alternateReferences>
  <we:properties>
    <we:property name="docId" value="&quot;Tc2kEdztLx8Uz19-Vwor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4BFF-CE3D-483B-821E-A1115D6699F3}">
  <sheetPr codeName="Planilha1"/>
  <dimension ref="A1:N198"/>
  <sheetViews>
    <sheetView topLeftCell="A27" zoomScale="85" zoomScaleNormal="85" workbookViewId="0">
      <selection activeCell="E20" sqref="E20"/>
    </sheetView>
  </sheetViews>
  <sheetFormatPr defaultRowHeight="15" x14ac:dyDescent="0.25"/>
  <cols>
    <col min="1" max="1" width="16.85546875" bestFit="1" customWidth="1"/>
    <col min="2" max="2" width="11.85546875" customWidth="1"/>
    <col min="3" max="3" width="10.42578125" bestFit="1" customWidth="1"/>
    <col min="4" max="4" width="61.5703125" bestFit="1" customWidth="1"/>
    <col min="5" max="5" width="10.5703125" customWidth="1"/>
    <col min="6" max="6" width="12.28515625" bestFit="1" customWidth="1"/>
    <col min="7" max="7" width="20.140625" bestFit="1" customWidth="1"/>
    <col min="8" max="8" width="19.42578125" customWidth="1"/>
    <col min="9" max="9" width="15.5703125" bestFit="1" customWidth="1"/>
    <col min="10" max="10" width="15.7109375" style="17" bestFit="1" customWidth="1"/>
    <col min="11" max="11" width="50.85546875" bestFit="1" customWidth="1"/>
    <col min="12" max="12" width="20.28515625" bestFit="1" customWidth="1"/>
    <col min="14" max="14" width="20.140625" bestFit="1" customWidth="1"/>
  </cols>
  <sheetData>
    <row r="1" spans="1:14" ht="30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1" t="s">
        <v>5</v>
      </c>
      <c r="G1" s="10" t="s">
        <v>328</v>
      </c>
      <c r="H1" s="11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0" t="s">
        <v>6</v>
      </c>
    </row>
    <row r="2" spans="1:14" x14ac:dyDescent="0.25">
      <c r="A2" s="18" t="s">
        <v>13</v>
      </c>
      <c r="B2" s="18" t="s">
        <v>107</v>
      </c>
      <c r="C2" s="18" t="s">
        <v>15</v>
      </c>
      <c r="D2" s="19" t="s">
        <v>113</v>
      </c>
      <c r="E2" s="18">
        <v>1</v>
      </c>
      <c r="F2" s="20" t="b">
        <v>1</v>
      </c>
      <c r="G2" s="18" t="str">
        <f>IF(Tabela2[[#This Row],[Augin?]]=TRUE,"LIBERADO PARA OBRA","PENDENTE")</f>
        <v>LIBERADO PARA OBRA</v>
      </c>
      <c r="H2" s="21"/>
      <c r="I2" s="22"/>
      <c r="J2" s="21" t="str">
        <f>IF(Tabela2[[#This Row],[Faltou Disciplina?]]="Não","-","")</f>
        <v/>
      </c>
      <c r="K2" s="21" t="str">
        <f>IF(Tabela2[[#This Row],[Faltou Disciplina?]]="Não","-","")</f>
        <v/>
      </c>
      <c r="L2" s="21" t="str">
        <f>IF(Tabela2[[#This Row],[Faltou Disciplina?]]="Não","-","")</f>
        <v/>
      </c>
      <c r="M2" s="21" t="str">
        <f>IF(Tabela2[[#This Row],[Faltou Disciplina?]]="Não","-","")</f>
        <v/>
      </c>
      <c r="N2" s="18" t="str" cm="1">
        <f t="array" ref="N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3" spans="1:14" x14ac:dyDescent="0.25">
      <c r="A3" s="18" t="s">
        <v>13</v>
      </c>
      <c r="B3" s="18" t="s">
        <v>107</v>
      </c>
      <c r="C3" s="18" t="s">
        <v>15</v>
      </c>
      <c r="D3" s="19" t="s">
        <v>111</v>
      </c>
      <c r="E3" s="18">
        <f>E2+1</f>
        <v>2</v>
      </c>
      <c r="F3" s="20" t="b">
        <v>1</v>
      </c>
      <c r="G3" s="18" t="str">
        <f>IF(Tabela2[[#This Row],[Augin?]]=TRUE,"LIBERADO PARA OBRA","PENDENTE")</f>
        <v>LIBERADO PARA OBRA</v>
      </c>
      <c r="H3" s="21"/>
      <c r="I3" s="22"/>
      <c r="J3" s="21" t="str">
        <f>IF(Tabela2[[#This Row],[Faltou Disciplina?]]="Não","-","")</f>
        <v/>
      </c>
      <c r="K3" s="21" t="str">
        <f>IF(Tabela2[[#This Row],[Faltou Disciplina?]]="Não","-","")</f>
        <v/>
      </c>
      <c r="L3" s="21" t="str">
        <f>IF(Tabela2[[#This Row],[Faltou Disciplina?]]="Não","-","")</f>
        <v/>
      </c>
      <c r="M3" s="21" t="str">
        <f>IF(Tabela2[[#This Row],[Faltou Disciplina?]]="Não","-","")</f>
        <v/>
      </c>
      <c r="N3" s="18" t="str" cm="1">
        <f t="array" ref="N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4" spans="1:14" x14ac:dyDescent="0.25">
      <c r="A4" s="18" t="s">
        <v>13</v>
      </c>
      <c r="B4" s="18" t="s">
        <v>107</v>
      </c>
      <c r="C4" s="18" t="s">
        <v>15</v>
      </c>
      <c r="D4" s="19" t="s">
        <v>112</v>
      </c>
      <c r="E4" s="18">
        <f>E3+1</f>
        <v>3</v>
      </c>
      <c r="F4" s="20" t="b">
        <v>1</v>
      </c>
      <c r="G4" s="18" t="str">
        <f>IF(Tabela2[[#This Row],[Augin?]]=TRUE,"LIBERADO PARA OBRA","PENDENTE")</f>
        <v>LIBERADO PARA OBRA</v>
      </c>
      <c r="H4" s="21"/>
      <c r="I4" s="22"/>
      <c r="J4" s="21" t="str">
        <f>IF(Tabela2[[#This Row],[Faltou Disciplina?]]="Não","-","")</f>
        <v/>
      </c>
      <c r="K4" s="21" t="str">
        <f>IF(Tabela2[[#This Row],[Faltou Disciplina?]]="Não","-","")</f>
        <v/>
      </c>
      <c r="L4" s="21" t="str">
        <f>IF(Tabela2[[#This Row],[Faltou Disciplina?]]="Não","-","")</f>
        <v/>
      </c>
      <c r="M4" s="21" t="str">
        <f>IF(Tabela2[[#This Row],[Faltou Disciplina?]]="Não","-","")</f>
        <v/>
      </c>
      <c r="N4" s="18" t="str" cm="1">
        <f t="array" ref="N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" spans="1:14" x14ac:dyDescent="0.25">
      <c r="A5" s="18" t="s">
        <v>13</v>
      </c>
      <c r="B5" s="18" t="s">
        <v>107</v>
      </c>
      <c r="C5" s="18" t="s">
        <v>15</v>
      </c>
      <c r="D5" s="19" t="s">
        <v>110</v>
      </c>
      <c r="E5" s="18">
        <f t="shared" ref="E5:E26" si="0">E4+1</f>
        <v>4</v>
      </c>
      <c r="F5" s="20" t="b">
        <v>1</v>
      </c>
      <c r="G5" s="18" t="str">
        <f>IF(Tabela2[[#This Row],[Augin?]]=TRUE,"LIBERADO PARA OBRA","PENDENTE")</f>
        <v>LIBERADO PARA OBRA</v>
      </c>
      <c r="H5" s="21"/>
      <c r="I5" s="22"/>
      <c r="J5" s="21" t="str">
        <f>IF(Tabela2[[#This Row],[Faltou Disciplina?]]="Não","-","")</f>
        <v/>
      </c>
      <c r="K5" s="21" t="str">
        <f>IF(Tabela2[[#This Row],[Faltou Disciplina?]]="Não","-","")</f>
        <v/>
      </c>
      <c r="L5" s="21" t="str">
        <f>IF(Tabela2[[#This Row],[Faltou Disciplina?]]="Não","-","")</f>
        <v/>
      </c>
      <c r="M5" s="21" t="str">
        <f>IF(Tabela2[[#This Row],[Faltou Disciplina?]]="Não","-","")</f>
        <v/>
      </c>
      <c r="N5" s="18" t="str" cm="1">
        <f t="array" ref="N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" spans="1:14" x14ac:dyDescent="0.25">
      <c r="A6" s="18" t="s">
        <v>13</v>
      </c>
      <c r="B6" s="18" t="s">
        <v>107</v>
      </c>
      <c r="C6" s="18" t="s">
        <v>15</v>
      </c>
      <c r="D6" s="19" t="s">
        <v>109</v>
      </c>
      <c r="E6" s="18">
        <f t="shared" si="0"/>
        <v>5</v>
      </c>
      <c r="F6" s="20" t="b">
        <v>1</v>
      </c>
      <c r="G6" s="18" t="str">
        <f>IF(Tabela2[[#This Row],[Augin?]]=TRUE,"LIBERADO PARA OBRA","PENDENTE")</f>
        <v>LIBERADO PARA OBRA</v>
      </c>
      <c r="H6" s="21"/>
      <c r="I6" s="22"/>
      <c r="J6" s="21" t="str">
        <f>IF(Tabela2[[#This Row],[Faltou Disciplina?]]="Não","-","")</f>
        <v/>
      </c>
      <c r="K6" s="21" t="str">
        <f>IF(Tabela2[[#This Row],[Faltou Disciplina?]]="Não","-","")</f>
        <v/>
      </c>
      <c r="L6" s="21" t="str">
        <f>IF(Tabela2[[#This Row],[Faltou Disciplina?]]="Não","-","")</f>
        <v/>
      </c>
      <c r="M6" s="21" t="str">
        <f>IF(Tabela2[[#This Row],[Faltou Disciplina?]]="Não","-","")</f>
        <v/>
      </c>
      <c r="N6" s="18" t="str" cm="1">
        <f t="array" ref="N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" spans="1:14" x14ac:dyDescent="0.25">
      <c r="A7" s="18" t="s">
        <v>13</v>
      </c>
      <c r="B7" s="18" t="s">
        <v>107</v>
      </c>
      <c r="C7" s="18" t="s">
        <v>15</v>
      </c>
      <c r="D7" s="19" t="s">
        <v>108</v>
      </c>
      <c r="E7" s="18">
        <f t="shared" si="0"/>
        <v>6</v>
      </c>
      <c r="F7" s="20" t="b">
        <v>1</v>
      </c>
      <c r="G7" s="18" t="str">
        <f>IF(Tabela2[[#This Row],[Augin?]]=TRUE,"LIBERADO PARA OBRA","PENDENTE")</f>
        <v>LIBERADO PARA OBRA</v>
      </c>
      <c r="H7" s="21"/>
      <c r="I7" s="22"/>
      <c r="J7" s="21" t="str">
        <f>IF(Tabela2[[#This Row],[Faltou Disciplina?]]="Não","-","")</f>
        <v/>
      </c>
      <c r="K7" s="21" t="str">
        <f>IF(Tabela2[[#This Row],[Faltou Disciplina?]]="Não","-","")</f>
        <v/>
      </c>
      <c r="L7" s="21" t="str">
        <f>IF(Tabela2[[#This Row],[Faltou Disciplina?]]="Não","-","")</f>
        <v/>
      </c>
      <c r="M7" s="21" t="str">
        <f>IF(Tabela2[[#This Row],[Faltou Disciplina?]]="Não","-","")</f>
        <v/>
      </c>
      <c r="N7" s="18" t="str" cm="1">
        <f t="array" ref="N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8" spans="1:14" x14ac:dyDescent="0.25">
      <c r="A8" s="18" t="s">
        <v>13</v>
      </c>
      <c r="B8" s="18" t="s">
        <v>107</v>
      </c>
      <c r="C8" s="18" t="s">
        <v>15</v>
      </c>
      <c r="D8" s="19" t="s">
        <v>114</v>
      </c>
      <c r="E8" s="18">
        <f t="shared" si="0"/>
        <v>7</v>
      </c>
      <c r="F8" s="20" t="b">
        <v>1</v>
      </c>
      <c r="G8" s="18" t="str">
        <f>IF(Tabela2[[#This Row],[Augin?]]=TRUE,"LIBERADO PARA OBRA","PENDENTE")</f>
        <v>LIBERADO PARA OBRA</v>
      </c>
      <c r="H8" s="21"/>
      <c r="I8" s="22"/>
      <c r="J8" s="21" t="str">
        <f>IF(Tabela2[[#This Row],[Faltou Disciplina?]]="Não","-","")</f>
        <v/>
      </c>
      <c r="K8" s="21" t="str">
        <f>IF(Tabela2[[#This Row],[Faltou Disciplina?]]="Não","-","")</f>
        <v/>
      </c>
      <c r="L8" s="21" t="str">
        <f>IF(Tabela2[[#This Row],[Faltou Disciplina?]]="Não","-","")</f>
        <v/>
      </c>
      <c r="M8" s="21" t="str">
        <f>IF(Tabela2[[#This Row],[Faltou Disciplina?]]="Não","-","")</f>
        <v/>
      </c>
      <c r="N8" s="18" t="str" cm="1">
        <f t="array" ref="N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9" spans="1:14" x14ac:dyDescent="0.25">
      <c r="A9" s="18" t="s">
        <v>13</v>
      </c>
      <c r="B9" s="18" t="s">
        <v>107</v>
      </c>
      <c r="C9" s="18" t="s">
        <v>15</v>
      </c>
      <c r="D9" s="19" t="s">
        <v>115</v>
      </c>
      <c r="E9" s="18">
        <f t="shared" si="0"/>
        <v>8</v>
      </c>
      <c r="F9" s="20" t="b">
        <v>1</v>
      </c>
      <c r="G9" s="18" t="str">
        <f>IF(Tabela2[[#This Row],[Augin?]]=TRUE,"LIBERADO PARA OBRA","PENDENTE")</f>
        <v>LIBERADO PARA OBRA</v>
      </c>
      <c r="H9" s="21"/>
      <c r="I9" s="22"/>
      <c r="J9" s="21" t="str">
        <f>IF(Tabela2[[#This Row],[Faltou Disciplina?]]="Não","-","")</f>
        <v/>
      </c>
      <c r="K9" s="21" t="str">
        <f>IF(Tabela2[[#This Row],[Faltou Disciplina?]]="Não","-","")</f>
        <v/>
      </c>
      <c r="L9" s="21" t="str">
        <f>IF(Tabela2[[#This Row],[Faltou Disciplina?]]="Não","-","")</f>
        <v/>
      </c>
      <c r="M9" s="21" t="str">
        <f>IF(Tabela2[[#This Row],[Faltou Disciplina?]]="Não","-","")</f>
        <v/>
      </c>
      <c r="N9" s="18" t="str" cm="1">
        <f t="array" ref="N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0" spans="1:14" x14ac:dyDescent="0.25">
      <c r="A10" s="18" t="s">
        <v>13</v>
      </c>
      <c r="B10" s="18" t="s">
        <v>107</v>
      </c>
      <c r="C10" s="18" t="s">
        <v>15</v>
      </c>
      <c r="D10" s="19" t="s">
        <v>116</v>
      </c>
      <c r="E10" s="18">
        <f t="shared" si="0"/>
        <v>9</v>
      </c>
      <c r="F10" s="20" t="b">
        <v>1</v>
      </c>
      <c r="G10" s="18" t="str">
        <f>IF(Tabela2[[#This Row],[Augin?]]=TRUE,"LIBERADO PARA OBRA","PENDENTE")</f>
        <v>LIBERADO PARA OBRA</v>
      </c>
      <c r="H10" s="21"/>
      <c r="I10" s="22"/>
      <c r="J10" s="21" t="str">
        <f>IF(Tabela2[[#This Row],[Faltou Disciplina?]]="Não","-","")</f>
        <v/>
      </c>
      <c r="K10" s="21" t="str">
        <f>IF(Tabela2[[#This Row],[Faltou Disciplina?]]="Não","-","")</f>
        <v/>
      </c>
      <c r="L10" s="21" t="str">
        <f>IF(Tabela2[[#This Row],[Faltou Disciplina?]]="Não","-","")</f>
        <v/>
      </c>
      <c r="M10" s="21" t="str">
        <f>IF(Tabela2[[#This Row],[Faltou Disciplina?]]="Não","-","")</f>
        <v/>
      </c>
      <c r="N10" s="18" t="str" cm="1">
        <f t="array" ref="N1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1" spans="1:14" x14ac:dyDescent="0.25">
      <c r="A11" s="18" t="s">
        <v>13</v>
      </c>
      <c r="B11" s="18" t="s">
        <v>107</v>
      </c>
      <c r="C11" s="18" t="s">
        <v>15</v>
      </c>
      <c r="D11" s="19" t="s">
        <v>117</v>
      </c>
      <c r="E11" s="18">
        <f t="shared" si="0"/>
        <v>10</v>
      </c>
      <c r="F11" s="20" t="b">
        <v>1</v>
      </c>
      <c r="G11" s="18" t="str">
        <f>IF(Tabela2[[#This Row],[Augin?]]=TRUE,"LIBERADO PARA OBRA","PENDENTE")</f>
        <v>LIBERADO PARA OBRA</v>
      </c>
      <c r="H11" s="21"/>
      <c r="I11" s="22"/>
      <c r="J11" s="21" t="str">
        <f>IF(Tabela2[[#This Row],[Faltou Disciplina?]]="Não","-","")</f>
        <v/>
      </c>
      <c r="K11" s="21" t="str">
        <f>IF(Tabela2[[#This Row],[Faltou Disciplina?]]="Não","-","")</f>
        <v/>
      </c>
      <c r="L11" s="21" t="str">
        <f>IF(Tabela2[[#This Row],[Faltou Disciplina?]]="Não","-","")</f>
        <v/>
      </c>
      <c r="M11" s="21" t="str">
        <f>IF(Tabela2[[#This Row],[Faltou Disciplina?]]="Não","-","")</f>
        <v/>
      </c>
      <c r="N11" s="18" t="str" cm="1">
        <f t="array" ref="N1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" spans="1:14" x14ac:dyDescent="0.25">
      <c r="A12" s="18" t="s">
        <v>13</v>
      </c>
      <c r="B12" s="18" t="s">
        <v>107</v>
      </c>
      <c r="C12" s="18" t="s">
        <v>15</v>
      </c>
      <c r="D12" s="19" t="s">
        <v>119</v>
      </c>
      <c r="E12" s="18">
        <f t="shared" si="0"/>
        <v>11</v>
      </c>
      <c r="F12" s="20" t="b">
        <v>0</v>
      </c>
      <c r="G12" s="18" t="str">
        <f>IF(Tabela2[[#This Row],[Augin?]]=TRUE,"LIBERADO PARA OBRA","PENDENTE")</f>
        <v>PENDENTE</v>
      </c>
      <c r="H12" s="21"/>
      <c r="I12" s="22"/>
      <c r="J12" s="21" t="str">
        <f>IF(Tabela2[[#This Row],[Faltou Disciplina?]]="Não","-","")</f>
        <v/>
      </c>
      <c r="K12" s="21" t="str">
        <f>IF(Tabela2[[#This Row],[Faltou Disciplina?]]="Não","-","")</f>
        <v/>
      </c>
      <c r="L12" s="21" t="str">
        <f>IF(Tabela2[[#This Row],[Faltou Disciplina?]]="Não","-","")</f>
        <v/>
      </c>
      <c r="M12" s="21" t="str">
        <f>IF(Tabela2[[#This Row],[Faltou Disciplina?]]="Não","-","")</f>
        <v/>
      </c>
      <c r="N12" s="18" t="str" cm="1">
        <f t="array" ref="N1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" spans="1:14" x14ac:dyDescent="0.25">
      <c r="A13" s="18" t="s">
        <v>13</v>
      </c>
      <c r="B13" s="18" t="s">
        <v>107</v>
      </c>
      <c r="C13" s="18" t="s">
        <v>15</v>
      </c>
      <c r="D13" s="19" t="s">
        <v>120</v>
      </c>
      <c r="E13" s="18">
        <f t="shared" si="0"/>
        <v>12</v>
      </c>
      <c r="F13" s="20" t="b">
        <v>0</v>
      </c>
      <c r="G13" s="18" t="str">
        <f>IF(Tabela2[[#This Row],[Augin?]]=TRUE,"LIBERADO PARA OBRA","PENDENTE")</f>
        <v>PENDENTE</v>
      </c>
      <c r="H13" s="21"/>
      <c r="I13" s="22"/>
      <c r="J13" s="21" t="str">
        <f>IF(Tabela2[[#This Row],[Faltou Disciplina?]]="Não","-","")</f>
        <v/>
      </c>
      <c r="K13" s="21" t="str">
        <f>IF(Tabela2[[#This Row],[Faltou Disciplina?]]="Não","-","")</f>
        <v/>
      </c>
      <c r="L13" s="21" t="str">
        <f>IF(Tabela2[[#This Row],[Faltou Disciplina?]]="Não","-","")</f>
        <v/>
      </c>
      <c r="M13" s="21" t="str">
        <f>IF(Tabela2[[#This Row],[Faltou Disciplina?]]="Não","-","")</f>
        <v/>
      </c>
      <c r="N13" s="18" t="str" cm="1">
        <f t="array" ref="N1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" spans="1:14" x14ac:dyDescent="0.25">
      <c r="A14" s="18" t="s">
        <v>13</v>
      </c>
      <c r="B14" s="18" t="s">
        <v>107</v>
      </c>
      <c r="C14" s="18" t="s">
        <v>15</v>
      </c>
      <c r="D14" s="19" t="s">
        <v>121</v>
      </c>
      <c r="E14" s="18">
        <f t="shared" si="0"/>
        <v>13</v>
      </c>
      <c r="F14" s="20" t="b">
        <v>0</v>
      </c>
      <c r="G14" s="18" t="str">
        <f>IF(Tabela2[[#This Row],[Augin?]]=TRUE,"LIBERADO PARA OBRA","PENDENTE")</f>
        <v>PENDENTE</v>
      </c>
      <c r="H14" s="21"/>
      <c r="I14" s="22"/>
      <c r="J14" s="21" t="str">
        <f>IF(Tabela2[[#This Row],[Faltou Disciplina?]]="Não","-","")</f>
        <v/>
      </c>
      <c r="K14" s="21" t="str">
        <f>IF(Tabela2[[#This Row],[Faltou Disciplina?]]="Não","-","")</f>
        <v/>
      </c>
      <c r="L14" s="21" t="str">
        <f>IF(Tabela2[[#This Row],[Faltou Disciplina?]]="Não","-","")</f>
        <v/>
      </c>
      <c r="M14" s="21" t="str">
        <f>IF(Tabela2[[#This Row],[Faltou Disciplina?]]="Não","-","")</f>
        <v/>
      </c>
      <c r="N14" s="18" t="str" cm="1">
        <f t="array" ref="N1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5" spans="1:14" x14ac:dyDescent="0.25">
      <c r="A15" s="18" t="s">
        <v>13</v>
      </c>
      <c r="B15" s="18" t="s">
        <v>107</v>
      </c>
      <c r="C15" s="18" t="s">
        <v>15</v>
      </c>
      <c r="D15" s="19" t="s">
        <v>122</v>
      </c>
      <c r="E15" s="18">
        <f t="shared" si="0"/>
        <v>14</v>
      </c>
      <c r="F15" s="20" t="b">
        <v>0</v>
      </c>
      <c r="G15" s="18" t="str">
        <f>IF(Tabela2[[#This Row],[Augin?]]=TRUE,"LIBERADO PARA OBRA","PENDENTE")</f>
        <v>PENDENTE</v>
      </c>
      <c r="H15" s="21"/>
      <c r="I15" s="22"/>
      <c r="J15" s="21" t="str">
        <f>IF(Tabela2[[#This Row],[Faltou Disciplina?]]="Não","-","")</f>
        <v/>
      </c>
      <c r="K15" s="21" t="str">
        <f>IF(Tabela2[[#This Row],[Faltou Disciplina?]]="Não","-","")</f>
        <v/>
      </c>
      <c r="L15" s="21" t="str">
        <f>IF(Tabela2[[#This Row],[Faltou Disciplina?]]="Não","-","")</f>
        <v/>
      </c>
      <c r="M15" s="21" t="str">
        <f>IF(Tabela2[[#This Row],[Faltou Disciplina?]]="Não","-","")</f>
        <v/>
      </c>
      <c r="N15" s="18" t="str" cm="1">
        <f t="array" ref="N1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" spans="1:14" x14ac:dyDescent="0.25">
      <c r="A16" s="18" t="s">
        <v>13</v>
      </c>
      <c r="B16" s="18" t="s">
        <v>107</v>
      </c>
      <c r="C16" s="18" t="s">
        <v>15</v>
      </c>
      <c r="D16" s="19" t="s">
        <v>123</v>
      </c>
      <c r="E16" s="18">
        <f t="shared" si="0"/>
        <v>15</v>
      </c>
      <c r="F16" s="20" t="b">
        <v>0</v>
      </c>
      <c r="G16" s="18" t="str">
        <f>IF(Tabela2[[#This Row],[Augin?]]=TRUE,"LIBERADO PARA OBRA","PENDENTE")</f>
        <v>PENDENTE</v>
      </c>
      <c r="H16" s="21"/>
      <c r="I16" s="22"/>
      <c r="J16" s="21" t="str">
        <f>IF(Tabela2[[#This Row],[Faltou Disciplina?]]="Não","-","")</f>
        <v/>
      </c>
      <c r="K16" s="21" t="str">
        <f>IF(Tabela2[[#This Row],[Faltou Disciplina?]]="Não","-","")</f>
        <v/>
      </c>
      <c r="L16" s="21" t="str">
        <f>IF(Tabela2[[#This Row],[Faltou Disciplina?]]="Não","-","")</f>
        <v/>
      </c>
      <c r="M16" s="21" t="str">
        <f>IF(Tabela2[[#This Row],[Faltou Disciplina?]]="Não","-","")</f>
        <v/>
      </c>
      <c r="N16" s="18" t="str" cm="1">
        <f t="array" ref="N1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7" spans="1:14" x14ac:dyDescent="0.25">
      <c r="A17" s="18" t="s">
        <v>13</v>
      </c>
      <c r="B17" s="18" t="s">
        <v>107</v>
      </c>
      <c r="C17" s="18" t="s">
        <v>15</v>
      </c>
      <c r="D17" s="19" t="s">
        <v>124</v>
      </c>
      <c r="E17" s="18">
        <f t="shared" si="0"/>
        <v>16</v>
      </c>
      <c r="F17" s="20" t="b">
        <v>0</v>
      </c>
      <c r="G17" s="18" t="str">
        <f>IF(Tabela2[[#This Row],[Augin?]]=TRUE,"LIBERADO PARA OBRA","PENDENTE")</f>
        <v>PENDENTE</v>
      </c>
      <c r="H17" s="21"/>
      <c r="I17" s="22"/>
      <c r="J17" s="21" t="str">
        <f>IF(Tabela2[[#This Row],[Faltou Disciplina?]]="Não","-","")</f>
        <v/>
      </c>
      <c r="K17" s="21" t="str">
        <f>IF(Tabela2[[#This Row],[Faltou Disciplina?]]="Não","-","")</f>
        <v/>
      </c>
      <c r="L17" s="21" t="str">
        <f>IF(Tabela2[[#This Row],[Faltou Disciplina?]]="Não","-","")</f>
        <v/>
      </c>
      <c r="M17" s="21" t="str">
        <f>IF(Tabela2[[#This Row],[Faltou Disciplina?]]="Não","-","")</f>
        <v/>
      </c>
      <c r="N17" s="18" t="str" cm="1">
        <f t="array" ref="N1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" spans="1:14" x14ac:dyDescent="0.25">
      <c r="A18" s="18" t="s">
        <v>13</v>
      </c>
      <c r="B18" s="18" t="s">
        <v>107</v>
      </c>
      <c r="C18" s="18" t="s">
        <v>15</v>
      </c>
      <c r="D18" s="19" t="s">
        <v>125</v>
      </c>
      <c r="E18" s="18">
        <f t="shared" si="0"/>
        <v>17</v>
      </c>
      <c r="F18" s="20" t="b">
        <v>0</v>
      </c>
      <c r="G18" s="18" t="str">
        <f>IF(Tabela2[[#This Row],[Augin?]]=TRUE,"LIBERADO PARA OBRA","PENDENTE")</f>
        <v>PENDENTE</v>
      </c>
      <c r="H18" s="21"/>
      <c r="I18" s="22"/>
      <c r="J18" s="21" t="str">
        <f>IF(Tabela2[[#This Row],[Faltou Disciplina?]]="Não","-","")</f>
        <v/>
      </c>
      <c r="K18" s="21" t="str">
        <f>IF(Tabela2[[#This Row],[Faltou Disciplina?]]="Não","-","")</f>
        <v/>
      </c>
      <c r="L18" s="21" t="str">
        <f>IF(Tabela2[[#This Row],[Faltou Disciplina?]]="Não","-","")</f>
        <v/>
      </c>
      <c r="M18" s="21" t="str">
        <f>IF(Tabela2[[#This Row],[Faltou Disciplina?]]="Não","-","")</f>
        <v/>
      </c>
      <c r="N18" s="18" t="str" cm="1">
        <f t="array" ref="N1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" spans="1:14" x14ac:dyDescent="0.25">
      <c r="A19" s="18" t="s">
        <v>13</v>
      </c>
      <c r="B19" s="18" t="s">
        <v>107</v>
      </c>
      <c r="C19" s="18" t="s">
        <v>15</v>
      </c>
      <c r="D19" s="19" t="s">
        <v>126</v>
      </c>
      <c r="E19" s="18">
        <f t="shared" si="0"/>
        <v>18</v>
      </c>
      <c r="F19" s="20" t="b">
        <v>0</v>
      </c>
      <c r="G19" s="18" t="str">
        <f>IF(Tabela2[[#This Row],[Augin?]]=TRUE,"LIBERADO PARA OBRA","PENDENTE")</f>
        <v>PENDENTE</v>
      </c>
      <c r="H19" s="21"/>
      <c r="I19" s="22"/>
      <c r="J19" s="21" t="str">
        <f>IF(Tabela2[[#This Row],[Faltou Disciplina?]]="Não","-","")</f>
        <v/>
      </c>
      <c r="K19" s="21" t="str">
        <f>IF(Tabela2[[#This Row],[Faltou Disciplina?]]="Não","-","")</f>
        <v/>
      </c>
      <c r="L19" s="21" t="str">
        <f>IF(Tabela2[[#This Row],[Faltou Disciplina?]]="Não","-","")</f>
        <v/>
      </c>
      <c r="M19" s="21" t="str">
        <f>IF(Tabela2[[#This Row],[Faltou Disciplina?]]="Não","-","")</f>
        <v/>
      </c>
      <c r="N19" s="18" t="str" cm="1">
        <f t="array" ref="N1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20" spans="1:14" x14ac:dyDescent="0.25">
      <c r="A20" s="18" t="s">
        <v>13</v>
      </c>
      <c r="B20" s="18" t="s">
        <v>107</v>
      </c>
      <c r="C20" s="18" t="s">
        <v>15</v>
      </c>
      <c r="D20" s="19" t="s">
        <v>127</v>
      </c>
      <c r="E20" s="18">
        <f t="shared" si="0"/>
        <v>19</v>
      </c>
      <c r="F20" s="20" t="b">
        <v>0</v>
      </c>
      <c r="G20" s="18" t="str">
        <f>IF(Tabela2[[#This Row],[Augin?]]=TRUE,"LIBERADO PARA OBRA","PENDENTE")</f>
        <v>PENDENTE</v>
      </c>
      <c r="H20" s="21"/>
      <c r="I20" s="22"/>
      <c r="J20" s="21" t="str">
        <f>IF(Tabela2[[#This Row],[Faltou Disciplina?]]="Não","-","")</f>
        <v/>
      </c>
      <c r="K20" s="21" t="str">
        <f>IF(Tabela2[[#This Row],[Faltou Disciplina?]]="Não","-","")</f>
        <v/>
      </c>
      <c r="L20" s="21" t="str">
        <f>IF(Tabela2[[#This Row],[Faltou Disciplina?]]="Não","-","")</f>
        <v/>
      </c>
      <c r="M20" s="21" t="str">
        <f>IF(Tabela2[[#This Row],[Faltou Disciplina?]]="Não","-","")</f>
        <v/>
      </c>
      <c r="N20" s="18" t="str" cm="1">
        <f t="array" ref="N2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21" spans="1:14" x14ac:dyDescent="0.25">
      <c r="A21" s="18" t="s">
        <v>13</v>
      </c>
      <c r="B21" s="18" t="s">
        <v>107</v>
      </c>
      <c r="C21" s="18" t="s">
        <v>15</v>
      </c>
      <c r="D21" s="19" t="s">
        <v>128</v>
      </c>
      <c r="E21" s="18">
        <f t="shared" si="0"/>
        <v>20</v>
      </c>
      <c r="F21" s="20" t="b">
        <v>0</v>
      </c>
      <c r="G21" s="18" t="str">
        <f>IF(Tabela2[[#This Row],[Augin?]]=TRUE,"LIBERADO PARA OBRA","PENDENTE")</f>
        <v>PENDENTE</v>
      </c>
      <c r="H21" s="21"/>
      <c r="I21" s="22"/>
      <c r="J21" s="21" t="str">
        <f>IF(Tabela2[[#This Row],[Faltou Disciplina?]]="Não","-","")</f>
        <v/>
      </c>
      <c r="K21" s="21" t="str">
        <f>IF(Tabela2[[#This Row],[Faltou Disciplina?]]="Não","-","")</f>
        <v/>
      </c>
      <c r="L21" s="21" t="str">
        <f>IF(Tabela2[[#This Row],[Faltou Disciplina?]]="Não","-","")</f>
        <v/>
      </c>
      <c r="M21" s="21" t="str">
        <f>IF(Tabela2[[#This Row],[Faltou Disciplina?]]="Não","-","")</f>
        <v/>
      </c>
      <c r="N21" s="18" t="str" cm="1">
        <f t="array" ref="N2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22" spans="1:14" x14ac:dyDescent="0.25">
      <c r="A22" s="18" t="s">
        <v>13</v>
      </c>
      <c r="B22" s="18" t="s">
        <v>107</v>
      </c>
      <c r="C22" s="18" t="s">
        <v>15</v>
      </c>
      <c r="D22" s="19" t="s">
        <v>129</v>
      </c>
      <c r="E22" s="18">
        <f t="shared" si="0"/>
        <v>21</v>
      </c>
      <c r="F22" s="20" t="b">
        <v>0</v>
      </c>
      <c r="G22" s="18" t="str">
        <f>IF(Tabela2[[#This Row],[Augin?]]=TRUE,"LIBERADO PARA OBRA","PENDENTE")</f>
        <v>PENDENTE</v>
      </c>
      <c r="H22" s="21"/>
      <c r="I22" s="22"/>
      <c r="J22" s="21" t="str">
        <f>IF(Tabela2[[#This Row],[Faltou Disciplina?]]="Não","-","")</f>
        <v/>
      </c>
      <c r="K22" s="21" t="str">
        <f>IF(Tabela2[[#This Row],[Faltou Disciplina?]]="Não","-","")</f>
        <v/>
      </c>
      <c r="L22" s="21" t="str">
        <f>IF(Tabela2[[#This Row],[Faltou Disciplina?]]="Não","-","")</f>
        <v/>
      </c>
      <c r="M22" s="21" t="str">
        <f>IF(Tabela2[[#This Row],[Faltou Disciplina?]]="Não","-","")</f>
        <v/>
      </c>
      <c r="N22" s="18" t="str" cm="1">
        <f t="array" ref="N2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23" spans="1:14" x14ac:dyDescent="0.25">
      <c r="A23" s="18" t="s">
        <v>13</v>
      </c>
      <c r="B23" s="18" t="s">
        <v>107</v>
      </c>
      <c r="C23" s="18" t="s">
        <v>15</v>
      </c>
      <c r="D23" s="19" t="s">
        <v>130</v>
      </c>
      <c r="E23" s="18">
        <f t="shared" si="0"/>
        <v>22</v>
      </c>
      <c r="F23" s="20" t="b">
        <v>0</v>
      </c>
      <c r="G23" s="18" t="str">
        <f>IF(Tabela2[[#This Row],[Augin?]]=TRUE,"LIBERADO PARA OBRA","PENDENTE")</f>
        <v>PENDENTE</v>
      </c>
      <c r="H23" s="21"/>
      <c r="I23" s="22"/>
      <c r="J23" s="21" t="str">
        <f>IF(Tabela2[[#This Row],[Faltou Disciplina?]]="Não","-","")</f>
        <v/>
      </c>
      <c r="K23" s="21" t="str">
        <f>IF(Tabela2[[#This Row],[Faltou Disciplina?]]="Não","-","")</f>
        <v/>
      </c>
      <c r="L23" s="21" t="str">
        <f>IF(Tabela2[[#This Row],[Faltou Disciplina?]]="Não","-","")</f>
        <v/>
      </c>
      <c r="M23" s="21" t="str">
        <f>IF(Tabela2[[#This Row],[Faltou Disciplina?]]="Não","-","")</f>
        <v/>
      </c>
      <c r="N23" s="18" t="str" cm="1">
        <f t="array" ref="N2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24" spans="1:14" x14ac:dyDescent="0.25">
      <c r="A24" s="18" t="s">
        <v>13</v>
      </c>
      <c r="B24" s="18" t="s">
        <v>107</v>
      </c>
      <c r="C24" s="18" t="s">
        <v>15</v>
      </c>
      <c r="D24" s="19" t="s">
        <v>131</v>
      </c>
      <c r="E24" s="18">
        <f t="shared" si="0"/>
        <v>23</v>
      </c>
      <c r="F24" s="20" t="b">
        <v>0</v>
      </c>
      <c r="G24" s="18" t="str">
        <f>IF(Tabela2[[#This Row],[Augin?]]=TRUE,"LIBERADO PARA OBRA","PENDENTE")</f>
        <v>PENDENTE</v>
      </c>
      <c r="H24" s="21"/>
      <c r="I24" s="22"/>
      <c r="J24" s="21" t="str">
        <f>IF(Tabela2[[#This Row],[Faltou Disciplina?]]="Não","-","")</f>
        <v/>
      </c>
      <c r="K24" s="21" t="str">
        <f>IF(Tabela2[[#This Row],[Faltou Disciplina?]]="Não","-","")</f>
        <v/>
      </c>
      <c r="L24" s="21" t="str">
        <f>IF(Tabela2[[#This Row],[Faltou Disciplina?]]="Não","-","")</f>
        <v/>
      </c>
      <c r="M24" s="21" t="str">
        <f>IF(Tabela2[[#This Row],[Faltou Disciplina?]]="Não","-","")</f>
        <v/>
      </c>
      <c r="N24" s="18" t="str" cm="1">
        <f t="array" ref="N2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25" spans="1:14" x14ac:dyDescent="0.25">
      <c r="A25" s="18" t="s">
        <v>13</v>
      </c>
      <c r="B25" s="18" t="s">
        <v>107</v>
      </c>
      <c r="C25" s="18" t="s">
        <v>15</v>
      </c>
      <c r="D25" s="19" t="s">
        <v>132</v>
      </c>
      <c r="E25" s="18">
        <f t="shared" si="0"/>
        <v>24</v>
      </c>
      <c r="F25" s="20" t="b">
        <v>0</v>
      </c>
      <c r="G25" s="18" t="str">
        <f>IF(Tabela2[[#This Row],[Augin?]]=TRUE,"LIBERADO PARA OBRA","PENDENTE")</f>
        <v>PENDENTE</v>
      </c>
      <c r="H25" s="21"/>
      <c r="I25" s="22"/>
      <c r="J25" s="21" t="str">
        <f>IF(Tabela2[[#This Row],[Faltou Disciplina?]]="Não","-","")</f>
        <v/>
      </c>
      <c r="K25" s="21" t="str">
        <f>IF(Tabela2[[#This Row],[Faltou Disciplina?]]="Não","-","")</f>
        <v/>
      </c>
      <c r="L25" s="21" t="str">
        <f>IF(Tabela2[[#This Row],[Faltou Disciplina?]]="Não","-","")</f>
        <v/>
      </c>
      <c r="M25" s="21" t="str">
        <f>IF(Tabela2[[#This Row],[Faltou Disciplina?]]="Não","-","")</f>
        <v/>
      </c>
      <c r="N25" s="18" t="str" cm="1">
        <f t="array" ref="N2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26" spans="1:14" x14ac:dyDescent="0.25">
      <c r="A26" s="18" t="s">
        <v>13</v>
      </c>
      <c r="B26" s="18" t="s">
        <v>107</v>
      </c>
      <c r="C26" s="18" t="s">
        <v>15</v>
      </c>
      <c r="D26" s="19" t="s">
        <v>118</v>
      </c>
      <c r="E26" s="18">
        <f t="shared" si="0"/>
        <v>25</v>
      </c>
      <c r="F26" s="20" t="b">
        <v>1</v>
      </c>
      <c r="G26" s="18" t="str">
        <f>IF(Tabela2[[#This Row],[Augin?]]=TRUE,"LIBERADO PARA OBRA","PENDENTE")</f>
        <v>LIBERADO PARA OBRA</v>
      </c>
      <c r="H26" s="21"/>
      <c r="I26" s="22"/>
      <c r="J26" s="21" t="str">
        <f>IF(Tabela2[[#This Row],[Faltou Disciplina?]]="Não","-","")</f>
        <v/>
      </c>
      <c r="K26" s="21" t="str">
        <f>IF(Tabela2[[#This Row],[Faltou Disciplina?]]="Não","-","")</f>
        <v/>
      </c>
      <c r="L26" s="21" t="str">
        <f>IF(Tabela2[[#This Row],[Faltou Disciplina?]]="Não","-","")</f>
        <v/>
      </c>
      <c r="M26" s="21" t="str">
        <f>IF(Tabela2[[#This Row],[Faltou Disciplina?]]="Não","-","")</f>
        <v/>
      </c>
      <c r="N26" s="18" t="str" cm="1">
        <f t="array" ref="N2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27" spans="1:14" x14ac:dyDescent="0.25">
      <c r="A27" s="18" t="s">
        <v>13</v>
      </c>
      <c r="B27" s="18" t="s">
        <v>14</v>
      </c>
      <c r="C27" s="18" t="s">
        <v>15</v>
      </c>
      <c r="D27" s="19" t="s">
        <v>16</v>
      </c>
      <c r="E27" s="18">
        <f t="shared" ref="E27:E32" si="1">E26+1</f>
        <v>26</v>
      </c>
      <c r="F27" s="20" t="b">
        <v>1</v>
      </c>
      <c r="G27" s="18" t="str">
        <f>IF(Tabela2[[#This Row],[Augin?]]=TRUE,"LIBERADO PARA OBRA","PENDENTE")</f>
        <v>LIBERADO PARA OBRA</v>
      </c>
      <c r="H27" s="21">
        <v>45931</v>
      </c>
      <c r="I27" s="22" t="s">
        <v>17</v>
      </c>
      <c r="J27" s="21" t="str">
        <f>IF(Tabela2[[#This Row],[Faltou Disciplina?]]="Não","-","")</f>
        <v>-</v>
      </c>
      <c r="K27" s="21" t="str">
        <f>IF(Tabela2[[#This Row],[Faltou Disciplina?]]="Não","-","")</f>
        <v>-</v>
      </c>
      <c r="L27" s="21" t="str">
        <f>IF(Tabela2[[#This Row],[Faltou Disciplina?]]="Não","-","")</f>
        <v>-</v>
      </c>
      <c r="M27" s="21" t="str">
        <f>IF(Tabela2[[#This Row],[Faltou Disciplina?]]="Não","-","")</f>
        <v>-</v>
      </c>
      <c r="N27" s="18" t="str" cm="1">
        <f t="array" ref="N27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28" spans="1:14" x14ac:dyDescent="0.25">
      <c r="A28" s="18" t="s">
        <v>13</v>
      </c>
      <c r="B28" s="18" t="s">
        <v>14</v>
      </c>
      <c r="C28" s="18" t="s">
        <v>15</v>
      </c>
      <c r="D28" s="19" t="s">
        <v>331</v>
      </c>
      <c r="E28" s="18">
        <f t="shared" si="1"/>
        <v>27</v>
      </c>
      <c r="F28" s="20" t="b">
        <v>1</v>
      </c>
      <c r="G28" s="18" t="str">
        <f>IF(Tabela2[[#This Row],[Augin?]]=TRUE,"LIBERADO PARA OBRA","PENDENTE")</f>
        <v>LIBERADO PARA OBRA</v>
      </c>
      <c r="H28" s="21">
        <v>45931</v>
      </c>
      <c r="I28" s="22" t="s">
        <v>17</v>
      </c>
      <c r="J28" s="21" t="str">
        <f>IF(Tabela2[[#This Row],[Faltou Disciplina?]]="Não","-","")</f>
        <v>-</v>
      </c>
      <c r="K28" s="21" t="str">
        <f>IF(Tabela2[[#This Row],[Faltou Disciplina?]]="Não","-","")</f>
        <v>-</v>
      </c>
      <c r="L28" s="21" t="str">
        <f>IF(Tabela2[[#This Row],[Faltou Disciplina?]]="Não","-","")</f>
        <v>-</v>
      </c>
      <c r="M28" s="21" t="str">
        <f>IF(Tabela2[[#This Row],[Faltou Disciplina?]]="Não","-","")</f>
        <v>-</v>
      </c>
      <c r="N28" s="18" t="str" cm="1">
        <f t="array" ref="N28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29" spans="1:14" x14ac:dyDescent="0.25">
      <c r="A29" s="18" t="s">
        <v>13</v>
      </c>
      <c r="B29" s="18" t="s">
        <v>14</v>
      </c>
      <c r="C29" s="18" t="s">
        <v>15</v>
      </c>
      <c r="D29" s="19" t="s">
        <v>332</v>
      </c>
      <c r="E29" s="18">
        <f t="shared" si="1"/>
        <v>28</v>
      </c>
      <c r="F29" s="20" t="b">
        <v>1</v>
      </c>
      <c r="G29" s="18" t="str">
        <f>IF(Tabela2[[#This Row],[Augin?]]=TRUE,"LIBERADO PARA OBRA","PENDENTE")</f>
        <v>LIBERADO PARA OBRA</v>
      </c>
      <c r="H29" s="21">
        <v>45931</v>
      </c>
      <c r="I29" s="22" t="s">
        <v>17</v>
      </c>
      <c r="J29" s="21" t="str">
        <f>IF(Tabela2[[#This Row],[Faltou Disciplina?]]="Não","-","")</f>
        <v>-</v>
      </c>
      <c r="K29" s="21" t="str">
        <f>IF(Tabela2[[#This Row],[Faltou Disciplina?]]="Não","-","")</f>
        <v>-</v>
      </c>
      <c r="L29" s="21" t="str">
        <f>IF(Tabela2[[#This Row],[Faltou Disciplina?]]="Não","-","")</f>
        <v>-</v>
      </c>
      <c r="M29" s="21" t="str">
        <f>IF(Tabela2[[#This Row],[Faltou Disciplina?]]="Não","-","")</f>
        <v>-</v>
      </c>
      <c r="N29" s="18" t="str" cm="1">
        <f t="array" ref="N29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0" spans="1:14" x14ac:dyDescent="0.25">
      <c r="A30" s="18" t="s">
        <v>13</v>
      </c>
      <c r="B30" s="18" t="s">
        <v>14</v>
      </c>
      <c r="C30" s="18" t="s">
        <v>15</v>
      </c>
      <c r="D30" s="19" t="s">
        <v>88</v>
      </c>
      <c r="E30" s="18">
        <f t="shared" si="1"/>
        <v>29</v>
      </c>
      <c r="F30" s="20" t="b">
        <v>1</v>
      </c>
      <c r="G30" s="18" t="str">
        <f>IF(Tabela2[[#This Row],[Augin?]]=TRUE,"LIBERADO PARA OBRA","PENDENTE")</f>
        <v>LIBERADO PARA OBRA</v>
      </c>
      <c r="H30" s="21">
        <v>45931</v>
      </c>
      <c r="I30" s="22" t="s">
        <v>17</v>
      </c>
      <c r="J30" s="21" t="str">
        <f>IF(Tabela2[[#This Row],[Faltou Disciplina?]]="Não","-","")</f>
        <v>-</v>
      </c>
      <c r="K30" s="21" t="str">
        <f>IF(Tabela2[[#This Row],[Faltou Disciplina?]]="Não","-","")</f>
        <v>-</v>
      </c>
      <c r="L30" s="21" t="str">
        <f>IF(Tabela2[[#This Row],[Faltou Disciplina?]]="Não","-","")</f>
        <v>-</v>
      </c>
      <c r="M30" s="21" t="str">
        <f>IF(Tabela2[[#This Row],[Faltou Disciplina?]]="Não","-","")</f>
        <v>-</v>
      </c>
      <c r="N30" s="18" t="str" cm="1">
        <f t="array" ref="N30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1" spans="1:14" x14ac:dyDescent="0.25">
      <c r="A31" s="18" t="s">
        <v>13</v>
      </c>
      <c r="B31" s="18" t="s">
        <v>14</v>
      </c>
      <c r="C31" s="18" t="s">
        <v>15</v>
      </c>
      <c r="D31" s="19" t="s">
        <v>26</v>
      </c>
      <c r="E31" s="18">
        <f t="shared" si="1"/>
        <v>30</v>
      </c>
      <c r="F31" s="20" t="b">
        <v>1</v>
      </c>
      <c r="G31" s="18" t="str">
        <f>IF(Tabela2[[#This Row],[Augin?]]=TRUE,"LIBERADO PARA OBRA","PENDENTE")</f>
        <v>LIBERADO PARA OBRA</v>
      </c>
      <c r="H31" s="21">
        <v>45931</v>
      </c>
      <c r="I31" s="22" t="s">
        <v>17</v>
      </c>
      <c r="J31" s="21" t="str">
        <f>IF(Tabela2[[#This Row],[Faltou Disciplina?]]="Não","-","")</f>
        <v>-</v>
      </c>
      <c r="K31" s="21" t="str">
        <f>IF(Tabela2[[#This Row],[Faltou Disciplina?]]="Não","-","")</f>
        <v>-</v>
      </c>
      <c r="L31" s="21" t="str">
        <f>IF(Tabela2[[#This Row],[Faltou Disciplina?]]="Não","-","")</f>
        <v>-</v>
      </c>
      <c r="M31" s="21" t="str">
        <f>IF(Tabela2[[#This Row],[Faltou Disciplina?]]="Não","-","")</f>
        <v>-</v>
      </c>
      <c r="N31" s="18" t="str" cm="1">
        <f t="array" ref="N31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2" spans="1:14" x14ac:dyDescent="0.25">
      <c r="A32" s="18" t="s">
        <v>13</v>
      </c>
      <c r="B32" s="18" t="s">
        <v>14</v>
      </c>
      <c r="C32" s="18" t="s">
        <v>15</v>
      </c>
      <c r="D32" s="19" t="s">
        <v>333</v>
      </c>
      <c r="E32" s="18">
        <f t="shared" si="1"/>
        <v>31</v>
      </c>
      <c r="F32" s="20" t="b">
        <v>1</v>
      </c>
      <c r="G32" s="18" t="str">
        <f>IF(Tabela2[[#This Row],[Augin?]]=TRUE,"LIBERADO PARA OBRA","PENDENTE")</f>
        <v>LIBERADO PARA OBRA</v>
      </c>
      <c r="H32" s="21">
        <v>45931</v>
      </c>
      <c r="I32" s="22" t="s">
        <v>17</v>
      </c>
      <c r="J32" s="21" t="str">
        <f>IF(Tabela2[[#This Row],[Faltou Disciplina?]]="Não","-","")</f>
        <v>-</v>
      </c>
      <c r="K32" s="21" t="str">
        <f>IF(Tabela2[[#This Row],[Faltou Disciplina?]]="Não","-","")</f>
        <v>-</v>
      </c>
      <c r="L32" s="21" t="str">
        <f>IF(Tabela2[[#This Row],[Faltou Disciplina?]]="Não","-","")</f>
        <v>-</v>
      </c>
      <c r="M32" s="21" t="str">
        <f>IF(Tabela2[[#This Row],[Faltou Disciplina?]]="Não","-","")</f>
        <v>-</v>
      </c>
      <c r="N32" s="18" t="str" cm="1">
        <f t="array" ref="N32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3" spans="1:14" x14ac:dyDescent="0.25">
      <c r="A33" s="18" t="s">
        <v>13</v>
      </c>
      <c r="B33" s="18" t="s">
        <v>14</v>
      </c>
      <c r="C33" s="18" t="s">
        <v>15</v>
      </c>
      <c r="D33" s="19" t="s">
        <v>29</v>
      </c>
      <c r="E33" s="18">
        <f t="shared" ref="E33:E97" si="2">E32+1</f>
        <v>32</v>
      </c>
      <c r="F33" s="20" t="b">
        <v>1</v>
      </c>
      <c r="G33" s="18" t="str">
        <f>IF(Tabela2[[#This Row],[Augin?]]=TRUE,"LIBERADO PARA OBRA","PENDENTE")</f>
        <v>LIBERADO PARA OBRA</v>
      </c>
      <c r="H33" s="21">
        <v>45931</v>
      </c>
      <c r="I33" s="22" t="s">
        <v>17</v>
      </c>
      <c r="J33" s="21" t="str">
        <f>IF(Tabela2[[#This Row],[Faltou Disciplina?]]="Não","-","")</f>
        <v>-</v>
      </c>
      <c r="K33" s="21" t="str">
        <f>IF(Tabela2[[#This Row],[Faltou Disciplina?]]="Não","-","")</f>
        <v>-</v>
      </c>
      <c r="L33" s="21" t="str">
        <f>IF(Tabela2[[#This Row],[Faltou Disciplina?]]="Não","-","")</f>
        <v>-</v>
      </c>
      <c r="M33" s="21" t="str">
        <f>IF(Tabela2[[#This Row],[Faltou Disciplina?]]="Não","-","")</f>
        <v>-</v>
      </c>
      <c r="N33" s="18" t="str" cm="1">
        <f t="array" ref="N33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4" spans="1:14" x14ac:dyDescent="0.25">
      <c r="A34" s="18" t="s">
        <v>13</v>
      </c>
      <c r="B34" s="18" t="s">
        <v>14</v>
      </c>
      <c r="C34" s="18" t="s">
        <v>15</v>
      </c>
      <c r="D34" s="19" t="s">
        <v>30</v>
      </c>
      <c r="E34" s="18">
        <f t="shared" si="2"/>
        <v>33</v>
      </c>
      <c r="F34" s="20" t="b">
        <v>1</v>
      </c>
      <c r="G34" s="18" t="str">
        <f>IF(Tabela2[[#This Row],[Augin?]]=TRUE,"LIBERADO PARA OBRA","PENDENTE")</f>
        <v>LIBERADO PARA OBRA</v>
      </c>
      <c r="H34" s="21">
        <v>45931</v>
      </c>
      <c r="I34" s="22" t="s">
        <v>17</v>
      </c>
      <c r="J34" s="21" t="str">
        <f>IF(Tabela2[[#This Row],[Faltou Disciplina?]]="Não","-","")</f>
        <v>-</v>
      </c>
      <c r="K34" s="21" t="str">
        <f>IF(Tabela2[[#This Row],[Faltou Disciplina?]]="Não","-","")</f>
        <v>-</v>
      </c>
      <c r="L34" s="21" t="str">
        <f>IF(Tabela2[[#This Row],[Faltou Disciplina?]]="Não","-","")</f>
        <v>-</v>
      </c>
      <c r="M34" s="21" t="str">
        <f>IF(Tabela2[[#This Row],[Faltou Disciplina?]]="Não","-","")</f>
        <v>-</v>
      </c>
      <c r="N34" s="18" t="str" cm="1">
        <f t="array" ref="N34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5" spans="1:14" x14ac:dyDescent="0.25">
      <c r="A35" s="18" t="s">
        <v>13</v>
      </c>
      <c r="B35" s="18" t="s">
        <v>14</v>
      </c>
      <c r="C35" s="18" t="s">
        <v>15</v>
      </c>
      <c r="D35" s="19" t="s">
        <v>353</v>
      </c>
      <c r="E35" s="18">
        <f t="shared" si="2"/>
        <v>34</v>
      </c>
      <c r="F35" s="20" t="b">
        <v>1</v>
      </c>
      <c r="G35" s="18" t="str">
        <f>IF(Tabela2[[#This Row],[Augin?]]=TRUE,"LIBERADO PARA OBRA","PENDENTE")</f>
        <v>LIBERADO PARA OBRA</v>
      </c>
      <c r="H35" s="21">
        <v>45931</v>
      </c>
      <c r="I35" s="22" t="s">
        <v>17</v>
      </c>
      <c r="J35" s="21" t="str">
        <f>IF(Tabela2[[#This Row],[Faltou Disciplina?]]="Não","-","")</f>
        <v>-</v>
      </c>
      <c r="K35" s="21" t="str">
        <f>IF(Tabela2[[#This Row],[Faltou Disciplina?]]="Não","-","")</f>
        <v>-</v>
      </c>
      <c r="L35" s="21" t="str">
        <f>IF(Tabela2[[#This Row],[Faltou Disciplina?]]="Não","-","")</f>
        <v>-</v>
      </c>
      <c r="M35" s="21" t="str">
        <f>IF(Tabela2[[#This Row],[Faltou Disciplina?]]="Não","-","")</f>
        <v>-</v>
      </c>
      <c r="N35" s="18" t="str" cm="1">
        <f t="array" ref="N35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6" spans="1:14" x14ac:dyDescent="0.25">
      <c r="A36" s="18" t="s">
        <v>13</v>
      </c>
      <c r="B36" s="18" t="s">
        <v>14</v>
      </c>
      <c r="C36" s="18" t="s">
        <v>15</v>
      </c>
      <c r="D36" s="19" t="s">
        <v>27</v>
      </c>
      <c r="E36" s="18">
        <f t="shared" si="2"/>
        <v>35</v>
      </c>
      <c r="F36" s="20" t="b">
        <v>1</v>
      </c>
      <c r="G36" s="18" t="str">
        <f>IF(Tabela2[[#This Row],[Augin?]]=TRUE,"LIBERADO PARA OBRA","PENDENTE")</f>
        <v>LIBERADO PARA OBRA</v>
      </c>
      <c r="H36" s="21">
        <v>45931</v>
      </c>
      <c r="I36" s="22" t="s">
        <v>17</v>
      </c>
      <c r="J36" s="21" t="str">
        <f>IF(Tabela2[[#This Row],[Faltou Disciplina?]]="Não","-","")</f>
        <v>-</v>
      </c>
      <c r="K36" s="21" t="str">
        <f>IF(Tabela2[[#This Row],[Faltou Disciplina?]]="Não","-","")</f>
        <v>-</v>
      </c>
      <c r="L36" s="21" t="str">
        <f>IF(Tabela2[[#This Row],[Faltou Disciplina?]]="Não","-","")</f>
        <v>-</v>
      </c>
      <c r="M36" s="21" t="str">
        <f>IF(Tabela2[[#This Row],[Faltou Disciplina?]]="Não","-","")</f>
        <v>-</v>
      </c>
      <c r="N36" s="18" t="str" cm="1">
        <f t="array" ref="N36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7" spans="1:14" x14ac:dyDescent="0.25">
      <c r="A37" s="18" t="s">
        <v>13</v>
      </c>
      <c r="B37" s="18" t="s">
        <v>14</v>
      </c>
      <c r="C37" s="18" t="s">
        <v>15</v>
      </c>
      <c r="D37" s="19" t="s">
        <v>36</v>
      </c>
      <c r="E37" s="18">
        <f t="shared" si="2"/>
        <v>36</v>
      </c>
      <c r="F37" s="20" t="b">
        <v>1</v>
      </c>
      <c r="G37" s="18" t="str">
        <f>IF(Tabela2[[#This Row],[Augin?]]=TRUE,"LIBERADO PARA OBRA","PENDENTE")</f>
        <v>LIBERADO PARA OBRA</v>
      </c>
      <c r="H37" s="21">
        <v>45975</v>
      </c>
      <c r="I37" s="22" t="s">
        <v>17</v>
      </c>
      <c r="J37" s="21" t="str">
        <f>IF(Tabela2[[#This Row],[Faltou Disciplina?]]="Não","-","")</f>
        <v>-</v>
      </c>
      <c r="K37" s="21" t="str">
        <f>IF(Tabela2[[#This Row],[Faltou Disciplina?]]="Não","-","")</f>
        <v>-</v>
      </c>
      <c r="L37" s="21" t="str">
        <f>IF(Tabela2[[#This Row],[Faltou Disciplina?]]="Não","-","")</f>
        <v>-</v>
      </c>
      <c r="M37" s="21" t="str">
        <f>IF(Tabela2[[#This Row],[Faltou Disciplina?]]="Não","-","")</f>
        <v>-</v>
      </c>
      <c r="N37" s="18" t="str" cm="1">
        <f t="array" ref="N37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8" spans="1:14" x14ac:dyDescent="0.25">
      <c r="A38" s="18" t="s">
        <v>13</v>
      </c>
      <c r="B38" s="18" t="s">
        <v>14</v>
      </c>
      <c r="C38" s="18" t="s">
        <v>15</v>
      </c>
      <c r="D38" s="19" t="s">
        <v>357</v>
      </c>
      <c r="E38" s="18">
        <f t="shared" si="2"/>
        <v>37</v>
      </c>
      <c r="F38" s="20" t="b">
        <v>1</v>
      </c>
      <c r="G38" s="18" t="str">
        <f>IF(Tabela2[[#This Row],[Augin?]]=TRUE,"LIBERADO PARA OBRA","PENDENTE")</f>
        <v>LIBERADO PARA OBRA</v>
      </c>
      <c r="H38" s="21">
        <v>45975</v>
      </c>
      <c r="I38" s="22" t="s">
        <v>17</v>
      </c>
      <c r="J38" s="21" t="str">
        <f>IF(Tabela2[[#This Row],[Faltou Disciplina?]]="Não","-","")</f>
        <v>-</v>
      </c>
      <c r="K38" s="21" t="str">
        <f>IF(Tabela2[[#This Row],[Faltou Disciplina?]]="Não","-","")</f>
        <v>-</v>
      </c>
      <c r="L38" s="21" t="str">
        <f>IF(Tabela2[[#This Row],[Faltou Disciplina?]]="Não","-","")</f>
        <v>-</v>
      </c>
      <c r="M38" s="21" t="str">
        <f>IF(Tabela2[[#This Row],[Faltou Disciplina?]]="Não","-","")</f>
        <v>-</v>
      </c>
      <c r="N38" s="18" t="str" cm="1">
        <f t="array" ref="N38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39" spans="1:14" x14ac:dyDescent="0.25">
      <c r="A39" s="18" t="s">
        <v>13</v>
      </c>
      <c r="B39" s="18" t="s">
        <v>14</v>
      </c>
      <c r="C39" s="18" t="s">
        <v>15</v>
      </c>
      <c r="D39" s="19" t="s">
        <v>25</v>
      </c>
      <c r="E39" s="18">
        <f t="shared" si="2"/>
        <v>38</v>
      </c>
      <c r="F39" s="20" t="b">
        <v>1</v>
      </c>
      <c r="G39" s="18" t="str">
        <f>IF(Tabela2[[#This Row],[Augin?]]=TRUE,"LIBERADO PARA OBRA","PENDENTE")</f>
        <v>LIBERADO PARA OBRA</v>
      </c>
      <c r="H39" s="21">
        <v>45931</v>
      </c>
      <c r="I39" s="22" t="s">
        <v>17</v>
      </c>
      <c r="J39" s="21" t="str">
        <f>IF(Tabela2[[#This Row],[Faltou Disciplina?]]="Não","-","")</f>
        <v>-</v>
      </c>
      <c r="K39" s="21" t="str">
        <f>IF(Tabela2[[#This Row],[Faltou Disciplina?]]="Não","-","")</f>
        <v>-</v>
      </c>
      <c r="L39" s="21" t="str">
        <f>IF(Tabela2[[#This Row],[Faltou Disciplina?]]="Não","-","")</f>
        <v>-</v>
      </c>
      <c r="M39" s="21" t="str">
        <f>IF(Tabela2[[#This Row],[Faltou Disciplina?]]="Não","-","")</f>
        <v>-</v>
      </c>
      <c r="N39" s="18" t="str" cm="1">
        <f t="array" ref="N39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40" spans="1:14" x14ac:dyDescent="0.25">
      <c r="A40" s="18" t="s">
        <v>13</v>
      </c>
      <c r="B40" s="18" t="s">
        <v>14</v>
      </c>
      <c r="C40" s="18" t="s">
        <v>15</v>
      </c>
      <c r="D40" s="19" t="s">
        <v>37</v>
      </c>
      <c r="E40" s="18">
        <f t="shared" si="2"/>
        <v>39</v>
      </c>
      <c r="F40" s="20" t="b">
        <v>1</v>
      </c>
      <c r="G40" s="18" t="str">
        <f>IF(Tabela2[[#This Row],[Augin?]]=TRUE,"LIBERADO PARA OBRA","PENDENTE")</f>
        <v>LIBERADO PARA OBRA</v>
      </c>
      <c r="H40" s="21">
        <v>45975</v>
      </c>
      <c r="I40" s="22" t="s">
        <v>17</v>
      </c>
      <c r="J40" s="21" t="str">
        <f>IF(Tabela2[[#This Row],[Faltou Disciplina?]]="Não","-","")</f>
        <v>-</v>
      </c>
      <c r="K40" s="21" t="str">
        <f>IF(Tabela2[[#This Row],[Faltou Disciplina?]]="Não","-","")</f>
        <v>-</v>
      </c>
      <c r="L40" s="21" t="str">
        <f>IF(Tabela2[[#This Row],[Faltou Disciplina?]]="Não","-","")</f>
        <v>-</v>
      </c>
      <c r="M40" s="21" t="str">
        <f>IF(Tabela2[[#This Row],[Faltou Disciplina?]]="Não","-","")</f>
        <v>-</v>
      </c>
      <c r="N40" s="18" t="str" cm="1">
        <f t="array" ref="N40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41" spans="1:14" x14ac:dyDescent="0.25">
      <c r="A41" s="18" t="s">
        <v>13</v>
      </c>
      <c r="B41" s="18" t="s">
        <v>14</v>
      </c>
      <c r="C41" s="18" t="s">
        <v>15</v>
      </c>
      <c r="D41" s="19" t="s">
        <v>28</v>
      </c>
      <c r="E41" s="18">
        <f t="shared" si="2"/>
        <v>40</v>
      </c>
      <c r="F41" s="20" t="b">
        <v>1</v>
      </c>
      <c r="G41" s="18" t="str">
        <f>IF(Tabela2[[#This Row],[Augin?]]=TRUE,"LIBERADO PARA OBRA","PENDENTE")</f>
        <v>LIBERADO PARA OBRA</v>
      </c>
      <c r="H41" s="21"/>
      <c r="I41" s="22"/>
      <c r="J41" s="21" t="str">
        <f>IF(Tabela2[[#This Row],[Faltou Disciplina?]]="Não","-","")</f>
        <v/>
      </c>
      <c r="K41" s="21" t="str">
        <f>IF(Tabela2[[#This Row],[Faltou Disciplina?]]="Não","-","")</f>
        <v/>
      </c>
      <c r="L41" s="21" t="str">
        <f>IF(Tabela2[[#This Row],[Faltou Disciplina?]]="Não","-","")</f>
        <v/>
      </c>
      <c r="M41" s="21" t="str">
        <f>IF(Tabela2[[#This Row],[Faltou Disciplina?]]="Não","-","")</f>
        <v/>
      </c>
      <c r="N41" s="18" t="str" cm="1">
        <f t="array" ref="N4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42" spans="1:14" x14ac:dyDescent="0.25">
      <c r="A42" s="18" t="s">
        <v>13</v>
      </c>
      <c r="B42" s="18" t="s">
        <v>14</v>
      </c>
      <c r="C42" s="18" t="s">
        <v>15</v>
      </c>
      <c r="D42" s="19" t="s">
        <v>35</v>
      </c>
      <c r="E42" s="18">
        <f t="shared" si="2"/>
        <v>41</v>
      </c>
      <c r="F42" s="20" t="b">
        <v>1</v>
      </c>
      <c r="G42" s="18" t="str">
        <f>IF(Tabela2[[#This Row],[Augin?]]=TRUE,"LIBERADO PARA OBRA","PENDENTE")</f>
        <v>LIBERADO PARA OBRA</v>
      </c>
      <c r="H42" s="21"/>
      <c r="I42" s="22"/>
      <c r="J42" s="21" t="str">
        <f>IF(Tabela2[[#This Row],[Faltou Disciplina?]]="Não","-","")</f>
        <v/>
      </c>
      <c r="K42" s="21" t="str">
        <f>IF(Tabela2[[#This Row],[Faltou Disciplina?]]="Não","-","")</f>
        <v/>
      </c>
      <c r="L42" s="21" t="str">
        <f>IF(Tabela2[[#This Row],[Faltou Disciplina?]]="Não","-","")</f>
        <v/>
      </c>
      <c r="M42" s="21" t="str">
        <f>IF(Tabela2[[#This Row],[Faltou Disciplina?]]="Não","-","")</f>
        <v/>
      </c>
      <c r="N42" s="18" t="str" cm="1">
        <f t="array" ref="N4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43" spans="1:14" x14ac:dyDescent="0.25">
      <c r="A43" s="18" t="s">
        <v>13</v>
      </c>
      <c r="B43" s="18" t="s">
        <v>14</v>
      </c>
      <c r="C43" s="18" t="s">
        <v>15</v>
      </c>
      <c r="D43" s="23" t="s">
        <v>24</v>
      </c>
      <c r="E43" s="18">
        <f t="shared" si="2"/>
        <v>42</v>
      </c>
      <c r="F43" s="20" t="b">
        <v>1</v>
      </c>
      <c r="G43" s="18" t="str">
        <f>IF(Tabela2[[#This Row],[Augin?]]=TRUE,"LIBERADO PARA OBRA","PENDENTE")</f>
        <v>LIBERADO PARA OBRA</v>
      </c>
      <c r="H43" s="21">
        <v>45975</v>
      </c>
      <c r="I43" s="22" t="s">
        <v>20</v>
      </c>
      <c r="J43" s="21" t="s">
        <v>334</v>
      </c>
      <c r="K43" s="21" t="s">
        <v>335</v>
      </c>
      <c r="L43" s="21" t="str">
        <f>IF(Tabela2[[#This Row],[Faltou Disciplina?]]="Não","-","")</f>
        <v/>
      </c>
      <c r="M43" s="21" t="str">
        <f>IF(Tabela2[[#This Row],[Faltou Disciplina?]]="Não","-","")</f>
        <v/>
      </c>
      <c r="N43" s="18" t="str" cm="1">
        <f t="array" ref="N43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44" spans="1:14" x14ac:dyDescent="0.25">
      <c r="A44" s="18" t="s">
        <v>13</v>
      </c>
      <c r="B44" s="18" t="s">
        <v>14</v>
      </c>
      <c r="C44" s="18" t="s">
        <v>15</v>
      </c>
      <c r="D44" s="19" t="s">
        <v>23</v>
      </c>
      <c r="E44" s="18">
        <f t="shared" si="2"/>
        <v>43</v>
      </c>
      <c r="F44" s="20" t="b">
        <v>1</v>
      </c>
      <c r="G44" s="18" t="str">
        <f>IF(Tabela2[[#This Row],[Augin?]]=TRUE,"LIBERADO PARA OBRA","PENDENTE")</f>
        <v>LIBERADO PARA OBRA</v>
      </c>
      <c r="H44" s="21"/>
      <c r="I44" s="22"/>
      <c r="J44" s="21" t="str">
        <f>IF(Tabela2[[#This Row],[Faltou Disciplina?]]="Não","-","")</f>
        <v/>
      </c>
      <c r="K44" s="21" t="str">
        <f>IF(Tabela2[[#This Row],[Faltou Disciplina?]]="Não","-","")</f>
        <v/>
      </c>
      <c r="L44" s="21" t="str">
        <f>IF(Tabela2[[#This Row],[Faltou Disciplina?]]="Não","-","")</f>
        <v/>
      </c>
      <c r="M44" s="21" t="str">
        <f>IF(Tabela2[[#This Row],[Faltou Disciplina?]]="Não","-","")</f>
        <v/>
      </c>
      <c r="N44" s="18" t="str" cm="1">
        <f t="array" ref="N4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45" spans="1:14" x14ac:dyDescent="0.25">
      <c r="A45" s="18" t="s">
        <v>13</v>
      </c>
      <c r="B45" s="18" t="s">
        <v>14</v>
      </c>
      <c r="C45" s="18" t="s">
        <v>79</v>
      </c>
      <c r="D45" s="19" t="s">
        <v>133</v>
      </c>
      <c r="E45" s="18">
        <f t="shared" si="2"/>
        <v>44</v>
      </c>
      <c r="F45" s="20" t="b">
        <v>1</v>
      </c>
      <c r="G45" s="18" t="str">
        <f>IF(Tabela2[[#This Row],[Augin?]]=TRUE,"LIBERADO PARA OBRA","PENDENTE")</f>
        <v>LIBERADO PARA OBRA</v>
      </c>
      <c r="H45" s="21"/>
      <c r="I45" s="22"/>
      <c r="J45" s="21" t="str">
        <f>IF(Tabela2[[#This Row],[Faltou Disciplina?]]="Não","-","")</f>
        <v/>
      </c>
      <c r="K45" s="21" t="str">
        <f>IF(Tabela2[[#This Row],[Faltou Disciplina?]]="Não","-","")</f>
        <v/>
      </c>
      <c r="L45" s="21" t="str">
        <f>IF(Tabela2[[#This Row],[Faltou Disciplina?]]="Não","-","")</f>
        <v/>
      </c>
      <c r="M45" s="21" t="str">
        <f>IF(Tabela2[[#This Row],[Faltou Disciplina?]]="Não","-","")</f>
        <v/>
      </c>
      <c r="N45" s="18" t="str" cm="1">
        <f t="array" ref="N4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46" spans="1:14" x14ac:dyDescent="0.25">
      <c r="A46" s="18" t="s">
        <v>13</v>
      </c>
      <c r="B46" s="18" t="s">
        <v>14</v>
      </c>
      <c r="C46" s="18" t="s">
        <v>79</v>
      </c>
      <c r="D46" s="19" t="s">
        <v>134</v>
      </c>
      <c r="E46" s="18">
        <f t="shared" si="2"/>
        <v>45</v>
      </c>
      <c r="F46" s="20" t="b">
        <v>1</v>
      </c>
      <c r="G46" s="18" t="str">
        <f>IF(Tabela2[[#This Row],[Augin?]]=TRUE,"LIBERADO PARA OBRA","PENDENTE")</f>
        <v>LIBERADO PARA OBRA</v>
      </c>
      <c r="H46" s="21"/>
      <c r="I46" s="22"/>
      <c r="J46" s="21" t="str">
        <f>IF(Tabela2[[#This Row],[Faltou Disciplina?]]="Não","-","")</f>
        <v/>
      </c>
      <c r="K46" s="21" t="str">
        <f>IF(Tabela2[[#This Row],[Faltou Disciplina?]]="Não","-","")</f>
        <v/>
      </c>
      <c r="L46" s="21" t="str">
        <f>IF(Tabela2[[#This Row],[Faltou Disciplina?]]="Não","-","")</f>
        <v/>
      </c>
      <c r="M46" s="21" t="str">
        <f>IF(Tabela2[[#This Row],[Faltou Disciplina?]]="Não","-","")</f>
        <v/>
      </c>
      <c r="N46" s="18" t="str" cm="1">
        <f t="array" ref="N4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47" spans="1:14" x14ac:dyDescent="0.25">
      <c r="A47" s="18" t="s">
        <v>13</v>
      </c>
      <c r="B47" s="18" t="s">
        <v>14</v>
      </c>
      <c r="C47" s="18" t="s">
        <v>85</v>
      </c>
      <c r="D47" s="19" t="s">
        <v>159</v>
      </c>
      <c r="E47" s="18">
        <f t="shared" si="2"/>
        <v>46</v>
      </c>
      <c r="F47" s="20" t="b">
        <v>0</v>
      </c>
      <c r="G47" s="18" t="str">
        <f>IF(Tabela2[[#This Row],[Augin?]]=TRUE,"LIBERADO PARA OBRA","PENDENTE")</f>
        <v>PENDENTE</v>
      </c>
      <c r="H47" s="21"/>
      <c r="I47" s="22"/>
      <c r="J47" s="21" t="str">
        <f>IF(Tabela2[[#This Row],[Faltou Disciplina?]]="Não","-","")</f>
        <v/>
      </c>
      <c r="K47" s="21" t="str">
        <f>IF(Tabela2[[#This Row],[Faltou Disciplina?]]="Não","-","")</f>
        <v/>
      </c>
      <c r="L47" s="21" t="str">
        <f>IF(Tabela2[[#This Row],[Faltou Disciplina?]]="Não","-","")</f>
        <v/>
      </c>
      <c r="M47" s="21" t="str">
        <f>IF(Tabela2[[#This Row],[Faltou Disciplina?]]="Não","-","")</f>
        <v/>
      </c>
      <c r="N47" s="18" t="str" cm="1">
        <f t="array" ref="N4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48" spans="1:14" x14ac:dyDescent="0.25">
      <c r="A48" s="18" t="s">
        <v>13</v>
      </c>
      <c r="B48" s="18" t="s">
        <v>14</v>
      </c>
      <c r="C48" s="18" t="s">
        <v>85</v>
      </c>
      <c r="D48" s="19" t="s">
        <v>156</v>
      </c>
      <c r="E48" s="18">
        <f t="shared" si="2"/>
        <v>47</v>
      </c>
      <c r="F48" s="20" t="b">
        <v>0</v>
      </c>
      <c r="G48" s="18" t="str">
        <f>IF(Tabela2[[#This Row],[Augin?]]=TRUE,"LIBERADO PARA OBRA","PENDENTE")</f>
        <v>PENDENTE</v>
      </c>
      <c r="H48" s="21"/>
      <c r="I48" s="22"/>
      <c r="J48" s="21" t="str">
        <f>IF(Tabela2[[#This Row],[Faltou Disciplina?]]="Não","-","")</f>
        <v/>
      </c>
      <c r="K48" s="21" t="str">
        <f>IF(Tabela2[[#This Row],[Faltou Disciplina?]]="Não","-","")</f>
        <v/>
      </c>
      <c r="L48" s="21" t="str">
        <f>IF(Tabela2[[#This Row],[Faltou Disciplina?]]="Não","-","")</f>
        <v/>
      </c>
      <c r="M48" s="21" t="str">
        <f>IF(Tabela2[[#This Row],[Faltou Disciplina?]]="Não","-","")</f>
        <v/>
      </c>
      <c r="N48" s="18" t="str" cm="1">
        <f t="array" ref="N4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49" spans="1:14" x14ac:dyDescent="0.25">
      <c r="A49" s="18" t="s">
        <v>13</v>
      </c>
      <c r="B49" s="18" t="s">
        <v>14</v>
      </c>
      <c r="C49" s="18" t="s">
        <v>85</v>
      </c>
      <c r="D49" s="19" t="s">
        <v>155</v>
      </c>
      <c r="E49" s="18">
        <f t="shared" si="2"/>
        <v>48</v>
      </c>
      <c r="F49" s="20" t="b">
        <v>0</v>
      </c>
      <c r="G49" s="18" t="str">
        <f>IF(Tabela2[[#This Row],[Augin?]]=TRUE,"LIBERADO PARA OBRA","PENDENTE")</f>
        <v>PENDENTE</v>
      </c>
      <c r="H49" s="21"/>
      <c r="I49" s="22"/>
      <c r="J49" s="21" t="str">
        <f>IF(Tabela2[[#This Row],[Faltou Disciplina?]]="Não","-","")</f>
        <v/>
      </c>
      <c r="K49" s="21" t="str">
        <f>IF(Tabela2[[#This Row],[Faltou Disciplina?]]="Não","-","")</f>
        <v/>
      </c>
      <c r="L49" s="21" t="str">
        <f>IF(Tabela2[[#This Row],[Faltou Disciplina?]]="Não","-","")</f>
        <v/>
      </c>
      <c r="M49" s="21" t="str">
        <f>IF(Tabela2[[#This Row],[Faltou Disciplina?]]="Não","-","")</f>
        <v/>
      </c>
      <c r="N49" s="18" t="str" cm="1">
        <f t="array" ref="N4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0" spans="1:14" x14ac:dyDescent="0.25">
      <c r="A50" s="18" t="s">
        <v>13</v>
      </c>
      <c r="B50" s="18" t="s">
        <v>14</v>
      </c>
      <c r="C50" s="18" t="s">
        <v>85</v>
      </c>
      <c r="D50" s="19" t="s">
        <v>160</v>
      </c>
      <c r="E50" s="18">
        <f t="shared" si="2"/>
        <v>49</v>
      </c>
      <c r="F50" s="20" t="b">
        <v>0</v>
      </c>
      <c r="G50" s="18" t="str">
        <f>IF(Tabela2[[#This Row],[Augin?]]=TRUE,"LIBERADO PARA OBRA","PENDENTE")</f>
        <v>PENDENTE</v>
      </c>
      <c r="H50" s="21"/>
      <c r="I50" s="22"/>
      <c r="J50" s="21" t="str">
        <f>IF(Tabela2[[#This Row],[Faltou Disciplina?]]="Não","-","")</f>
        <v/>
      </c>
      <c r="K50" s="21" t="str">
        <f>IF(Tabela2[[#This Row],[Faltou Disciplina?]]="Não","-","")</f>
        <v/>
      </c>
      <c r="L50" s="21" t="str">
        <f>IF(Tabela2[[#This Row],[Faltou Disciplina?]]="Não","-","")</f>
        <v/>
      </c>
      <c r="M50" s="21" t="str">
        <f>IF(Tabela2[[#This Row],[Faltou Disciplina?]]="Não","-","")</f>
        <v/>
      </c>
      <c r="N50" s="18" t="str" cm="1">
        <f t="array" ref="N5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1" spans="1:14" x14ac:dyDescent="0.25">
      <c r="A51" s="18" t="s">
        <v>13</v>
      </c>
      <c r="B51" s="18" t="s">
        <v>14</v>
      </c>
      <c r="C51" s="18" t="s">
        <v>85</v>
      </c>
      <c r="D51" s="19" t="s">
        <v>161</v>
      </c>
      <c r="E51" s="18">
        <f t="shared" si="2"/>
        <v>50</v>
      </c>
      <c r="F51" s="20" t="b">
        <v>0</v>
      </c>
      <c r="G51" s="18" t="str">
        <f>IF(Tabela2[[#This Row],[Augin?]]=TRUE,"LIBERADO PARA OBRA","PENDENTE")</f>
        <v>PENDENTE</v>
      </c>
      <c r="H51" s="21"/>
      <c r="I51" s="22"/>
      <c r="J51" s="21" t="str">
        <f>IF(Tabela2[[#This Row],[Faltou Disciplina?]]="Não","-","")</f>
        <v/>
      </c>
      <c r="K51" s="21" t="str">
        <f>IF(Tabela2[[#This Row],[Faltou Disciplina?]]="Não","-","")</f>
        <v/>
      </c>
      <c r="L51" s="21" t="str">
        <f>IF(Tabela2[[#This Row],[Faltou Disciplina?]]="Não","-","")</f>
        <v/>
      </c>
      <c r="M51" s="21" t="str">
        <f>IF(Tabela2[[#This Row],[Faltou Disciplina?]]="Não","-","")</f>
        <v/>
      </c>
      <c r="N51" s="18" t="str" cm="1">
        <f t="array" ref="N5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2" spans="1:14" x14ac:dyDescent="0.25">
      <c r="A52" s="18" t="s">
        <v>13</v>
      </c>
      <c r="B52" s="18" t="s">
        <v>14</v>
      </c>
      <c r="C52" s="18" t="s">
        <v>85</v>
      </c>
      <c r="D52" s="19" t="s">
        <v>154</v>
      </c>
      <c r="E52" s="18">
        <f t="shared" si="2"/>
        <v>51</v>
      </c>
      <c r="F52" s="20" t="b">
        <v>0</v>
      </c>
      <c r="G52" s="18" t="str">
        <f>IF(Tabela2[[#This Row],[Augin?]]=TRUE,"LIBERADO PARA OBRA","PENDENTE")</f>
        <v>PENDENTE</v>
      </c>
      <c r="H52" s="21"/>
      <c r="I52" s="22"/>
      <c r="J52" s="21" t="str">
        <f>IF(Tabela2[[#This Row],[Faltou Disciplina?]]="Não","-","")</f>
        <v/>
      </c>
      <c r="K52" s="21" t="str">
        <f>IF(Tabela2[[#This Row],[Faltou Disciplina?]]="Não","-","")</f>
        <v/>
      </c>
      <c r="L52" s="21" t="str">
        <f>IF(Tabela2[[#This Row],[Faltou Disciplina?]]="Não","-","")</f>
        <v/>
      </c>
      <c r="M52" s="21" t="str">
        <f>IF(Tabela2[[#This Row],[Faltou Disciplina?]]="Não","-","")</f>
        <v/>
      </c>
      <c r="N52" s="18" t="str" cm="1">
        <f t="array" ref="N5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3" spans="1:14" x14ac:dyDescent="0.25">
      <c r="A53" s="18" t="s">
        <v>13</v>
      </c>
      <c r="B53" s="18" t="s">
        <v>14</v>
      </c>
      <c r="C53" s="18" t="s">
        <v>85</v>
      </c>
      <c r="D53" s="19" t="s">
        <v>153</v>
      </c>
      <c r="E53" s="18">
        <f t="shared" si="2"/>
        <v>52</v>
      </c>
      <c r="F53" s="20" t="b">
        <v>0</v>
      </c>
      <c r="G53" s="18" t="str">
        <f>IF(Tabela2[[#This Row],[Augin?]]=TRUE,"LIBERADO PARA OBRA","PENDENTE")</f>
        <v>PENDENTE</v>
      </c>
      <c r="H53" s="21"/>
      <c r="I53" s="22"/>
      <c r="J53" s="21" t="str">
        <f>IF(Tabela2[[#This Row],[Faltou Disciplina?]]="Não","-","")</f>
        <v/>
      </c>
      <c r="K53" s="21" t="str">
        <f>IF(Tabela2[[#This Row],[Faltou Disciplina?]]="Não","-","")</f>
        <v/>
      </c>
      <c r="L53" s="21" t="str">
        <f>IF(Tabela2[[#This Row],[Faltou Disciplina?]]="Não","-","")</f>
        <v/>
      </c>
      <c r="M53" s="21" t="str">
        <f>IF(Tabela2[[#This Row],[Faltou Disciplina?]]="Não","-","")</f>
        <v/>
      </c>
      <c r="N53" s="18" t="str" cm="1">
        <f t="array" ref="N5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4" spans="1:14" x14ac:dyDescent="0.25">
      <c r="A54" s="18" t="s">
        <v>13</v>
      </c>
      <c r="B54" s="18" t="s">
        <v>14</v>
      </c>
      <c r="C54" s="18" t="s">
        <v>85</v>
      </c>
      <c r="D54" s="19" t="s">
        <v>152</v>
      </c>
      <c r="E54" s="18">
        <f t="shared" si="2"/>
        <v>53</v>
      </c>
      <c r="F54" s="20" t="b">
        <v>0</v>
      </c>
      <c r="G54" s="18" t="str">
        <f>IF(Tabela2[[#This Row],[Augin?]]=TRUE,"LIBERADO PARA OBRA","PENDENTE")</f>
        <v>PENDENTE</v>
      </c>
      <c r="H54" s="21"/>
      <c r="I54" s="22"/>
      <c r="J54" s="21" t="str">
        <f>IF(Tabela2[[#This Row],[Faltou Disciplina?]]="Não","-","")</f>
        <v/>
      </c>
      <c r="K54" s="21" t="str">
        <f>IF(Tabela2[[#This Row],[Faltou Disciplina?]]="Não","-","")</f>
        <v/>
      </c>
      <c r="L54" s="21" t="str">
        <f>IF(Tabela2[[#This Row],[Faltou Disciplina?]]="Não","-","")</f>
        <v/>
      </c>
      <c r="M54" s="21" t="str">
        <f>IF(Tabela2[[#This Row],[Faltou Disciplina?]]="Não","-","")</f>
        <v/>
      </c>
      <c r="N54" s="18" t="str" cm="1">
        <f t="array" ref="N5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5" spans="1:14" x14ac:dyDescent="0.25">
      <c r="A55" s="18" t="s">
        <v>13</v>
      </c>
      <c r="B55" s="18" t="s">
        <v>14</v>
      </c>
      <c r="C55" s="18" t="s">
        <v>85</v>
      </c>
      <c r="D55" s="19" t="s">
        <v>151</v>
      </c>
      <c r="E55" s="18">
        <f t="shared" si="2"/>
        <v>54</v>
      </c>
      <c r="F55" s="20" t="b">
        <v>0</v>
      </c>
      <c r="G55" s="18" t="str">
        <f>IF(Tabela2[[#This Row],[Augin?]]=TRUE,"LIBERADO PARA OBRA","PENDENTE")</f>
        <v>PENDENTE</v>
      </c>
      <c r="H55" s="21"/>
      <c r="I55" s="22"/>
      <c r="J55" s="21" t="str">
        <f>IF(Tabela2[[#This Row],[Faltou Disciplina?]]="Não","-","")</f>
        <v/>
      </c>
      <c r="K55" s="21" t="str">
        <f>IF(Tabela2[[#This Row],[Faltou Disciplina?]]="Não","-","")</f>
        <v/>
      </c>
      <c r="L55" s="21" t="str">
        <f>IF(Tabela2[[#This Row],[Faltou Disciplina?]]="Não","-","")</f>
        <v/>
      </c>
      <c r="M55" s="21" t="str">
        <f>IF(Tabela2[[#This Row],[Faltou Disciplina?]]="Não","-","")</f>
        <v/>
      </c>
      <c r="N55" s="18" t="str" cm="1">
        <f t="array" ref="N5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6" spans="1:14" x14ac:dyDescent="0.25">
      <c r="A56" s="18" t="s">
        <v>13</v>
      </c>
      <c r="B56" s="18" t="s">
        <v>14</v>
      </c>
      <c r="C56" s="18" t="s">
        <v>85</v>
      </c>
      <c r="D56" s="19" t="s">
        <v>336</v>
      </c>
      <c r="E56" s="18">
        <f t="shared" si="2"/>
        <v>55</v>
      </c>
      <c r="F56" s="20" t="b">
        <v>0</v>
      </c>
      <c r="G56" s="18" t="str">
        <f>IF(Tabela2[[#This Row],[Augin?]]=TRUE,"LIBERADO PARA OBRA","PENDENTE")</f>
        <v>PENDENTE</v>
      </c>
      <c r="H56" s="21"/>
      <c r="I56" s="22"/>
      <c r="J56" s="21" t="str">
        <f>IF(Tabela2[[#This Row],[Faltou Disciplina?]]="Não","-","")</f>
        <v/>
      </c>
      <c r="K56" s="21" t="str">
        <f>IF(Tabela2[[#This Row],[Faltou Disciplina?]]="Não","-","")</f>
        <v/>
      </c>
      <c r="L56" s="21" t="str">
        <f>IF(Tabela2[[#This Row],[Faltou Disciplina?]]="Não","-","")</f>
        <v/>
      </c>
      <c r="M56" s="21" t="str">
        <f>IF(Tabela2[[#This Row],[Faltou Disciplina?]]="Não","-","")</f>
        <v/>
      </c>
      <c r="N56" s="18" t="str" cm="1">
        <f t="array" ref="N5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7" spans="1:14" x14ac:dyDescent="0.25">
      <c r="A57" s="18" t="s">
        <v>13</v>
      </c>
      <c r="B57" s="18" t="s">
        <v>14</v>
      </c>
      <c r="C57" s="18" t="s">
        <v>85</v>
      </c>
      <c r="D57" s="19" t="s">
        <v>358</v>
      </c>
      <c r="E57" s="18">
        <f t="shared" si="2"/>
        <v>56</v>
      </c>
      <c r="F57" s="20" t="b">
        <v>0</v>
      </c>
      <c r="G57" s="18" t="str">
        <f>IF(Tabela2[[#This Row],[Augin?]]=TRUE,"LIBERADO PARA OBRA","PENDENTE")</f>
        <v>PENDENTE</v>
      </c>
      <c r="H57" s="21"/>
      <c r="I57" s="22"/>
      <c r="J57" s="21" t="str">
        <f>IF(Tabela2[[#This Row],[Faltou Disciplina?]]="Não","-","")</f>
        <v/>
      </c>
      <c r="K57" s="21" t="str">
        <f>IF(Tabela2[[#This Row],[Faltou Disciplina?]]="Não","-","")</f>
        <v/>
      </c>
      <c r="L57" s="21" t="str">
        <f>IF(Tabela2[[#This Row],[Faltou Disciplina?]]="Não","-","")</f>
        <v/>
      </c>
      <c r="M57" s="21" t="str">
        <f>IF(Tabela2[[#This Row],[Faltou Disciplina?]]="Não","-","")</f>
        <v/>
      </c>
      <c r="N57" s="18" t="str" cm="1">
        <f t="array" ref="N5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8" spans="1:14" x14ac:dyDescent="0.25">
      <c r="A58" s="18" t="s">
        <v>13</v>
      </c>
      <c r="B58" s="18" t="s">
        <v>14</v>
      </c>
      <c r="C58" s="18" t="s">
        <v>85</v>
      </c>
      <c r="D58" s="19" t="s">
        <v>157</v>
      </c>
      <c r="E58" s="18">
        <f t="shared" si="2"/>
        <v>57</v>
      </c>
      <c r="F58" s="20" t="b">
        <v>0</v>
      </c>
      <c r="G58" s="18" t="str">
        <f>IF(Tabela2[[#This Row],[Augin?]]=TRUE,"LIBERADO PARA OBRA","PENDENTE")</f>
        <v>PENDENTE</v>
      </c>
      <c r="H58" s="21"/>
      <c r="I58" s="22"/>
      <c r="J58" s="21" t="str">
        <f>IF(Tabela2[[#This Row],[Faltou Disciplina?]]="Não","-","")</f>
        <v/>
      </c>
      <c r="K58" s="21" t="str">
        <f>IF(Tabela2[[#This Row],[Faltou Disciplina?]]="Não","-","")</f>
        <v/>
      </c>
      <c r="L58" s="21" t="str">
        <f>IF(Tabela2[[#This Row],[Faltou Disciplina?]]="Não","-","")</f>
        <v/>
      </c>
      <c r="M58" s="21" t="str">
        <f>IF(Tabela2[[#This Row],[Faltou Disciplina?]]="Não","-","")</f>
        <v/>
      </c>
      <c r="N58" s="18" t="str" cm="1">
        <f t="array" ref="N5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59" spans="1:14" x14ac:dyDescent="0.25">
      <c r="A59" s="18" t="s">
        <v>13</v>
      </c>
      <c r="B59" s="18" t="s">
        <v>14</v>
      </c>
      <c r="C59" s="18" t="s">
        <v>85</v>
      </c>
      <c r="D59" s="19" t="s">
        <v>158</v>
      </c>
      <c r="E59" s="18">
        <f t="shared" si="2"/>
        <v>58</v>
      </c>
      <c r="F59" s="20" t="b">
        <v>0</v>
      </c>
      <c r="G59" s="18" t="str">
        <f>IF(Tabela2[[#This Row],[Augin?]]=TRUE,"LIBERADO PARA OBRA","PENDENTE")</f>
        <v>PENDENTE</v>
      </c>
      <c r="H59" s="21"/>
      <c r="I59" s="22"/>
      <c r="J59" s="21" t="str">
        <f>IF(Tabela2[[#This Row],[Faltou Disciplina?]]="Não","-","")</f>
        <v/>
      </c>
      <c r="K59" s="21" t="str">
        <f>IF(Tabela2[[#This Row],[Faltou Disciplina?]]="Não","-","")</f>
        <v/>
      </c>
      <c r="L59" s="21" t="str">
        <f>IF(Tabela2[[#This Row],[Faltou Disciplina?]]="Não","-","")</f>
        <v/>
      </c>
      <c r="M59" s="21" t="str">
        <f>IF(Tabela2[[#This Row],[Faltou Disciplina?]]="Não","-","")</f>
        <v/>
      </c>
      <c r="N59" s="18" t="str" cm="1">
        <f t="array" ref="N5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0" spans="1:14" x14ac:dyDescent="0.25">
      <c r="A60" s="18" t="s">
        <v>13</v>
      </c>
      <c r="B60" s="18" t="s">
        <v>14</v>
      </c>
      <c r="C60" s="18" t="s">
        <v>85</v>
      </c>
      <c r="D60" s="19" t="s">
        <v>150</v>
      </c>
      <c r="E60" s="18">
        <f t="shared" si="2"/>
        <v>59</v>
      </c>
      <c r="F60" s="20" t="b">
        <v>0</v>
      </c>
      <c r="G60" s="18" t="str">
        <f>IF(Tabela2[[#This Row],[Augin?]]=TRUE,"LIBERADO PARA OBRA","PENDENTE")</f>
        <v>PENDENTE</v>
      </c>
      <c r="H60" s="21"/>
      <c r="I60" s="22"/>
      <c r="J60" s="21" t="str">
        <f>IF(Tabela2[[#This Row],[Faltou Disciplina?]]="Não","-","")</f>
        <v/>
      </c>
      <c r="K60" s="21" t="str">
        <f>IF(Tabela2[[#This Row],[Faltou Disciplina?]]="Não","-","")</f>
        <v/>
      </c>
      <c r="L60" s="21" t="str">
        <f>IF(Tabela2[[#This Row],[Faltou Disciplina?]]="Não","-","")</f>
        <v/>
      </c>
      <c r="M60" s="21" t="str">
        <f>IF(Tabela2[[#This Row],[Faltou Disciplina?]]="Não","-","")</f>
        <v/>
      </c>
      <c r="N60" s="18" t="str" cm="1">
        <f t="array" ref="N6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1" spans="1:14" x14ac:dyDescent="0.25">
      <c r="A61" s="18" t="s">
        <v>13</v>
      </c>
      <c r="B61" s="18" t="s">
        <v>14</v>
      </c>
      <c r="C61" s="18" t="s">
        <v>85</v>
      </c>
      <c r="D61" s="19" t="s">
        <v>149</v>
      </c>
      <c r="E61" s="18">
        <f t="shared" si="2"/>
        <v>60</v>
      </c>
      <c r="F61" s="20" t="b">
        <v>0</v>
      </c>
      <c r="G61" s="18" t="str">
        <f>IF(Tabela2[[#This Row],[Augin?]]=TRUE,"LIBERADO PARA OBRA","PENDENTE")</f>
        <v>PENDENTE</v>
      </c>
      <c r="H61" s="21"/>
      <c r="I61" s="22"/>
      <c r="J61" s="21" t="str">
        <f>IF(Tabela2[[#This Row],[Faltou Disciplina?]]="Não","-","")</f>
        <v/>
      </c>
      <c r="K61" s="21" t="str">
        <f>IF(Tabela2[[#This Row],[Faltou Disciplina?]]="Não","-","")</f>
        <v/>
      </c>
      <c r="L61" s="21" t="str">
        <f>IF(Tabela2[[#This Row],[Faltou Disciplina?]]="Não","-","")</f>
        <v/>
      </c>
      <c r="M61" s="21" t="str">
        <f>IF(Tabela2[[#This Row],[Faltou Disciplina?]]="Não","-","")</f>
        <v/>
      </c>
      <c r="N61" s="18" t="str" cm="1">
        <f t="array" ref="N6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2" spans="1:14" x14ac:dyDescent="0.25">
      <c r="A62" s="18" t="s">
        <v>13</v>
      </c>
      <c r="B62" s="18" t="s">
        <v>14</v>
      </c>
      <c r="C62" s="18" t="s">
        <v>85</v>
      </c>
      <c r="D62" s="19" t="s">
        <v>148</v>
      </c>
      <c r="E62" s="18">
        <f t="shared" si="2"/>
        <v>61</v>
      </c>
      <c r="F62" s="20" t="b">
        <v>0</v>
      </c>
      <c r="G62" s="18" t="str">
        <f>IF(Tabela2[[#This Row],[Augin?]]=TRUE,"LIBERADO PARA OBRA","PENDENTE")</f>
        <v>PENDENTE</v>
      </c>
      <c r="H62" s="21"/>
      <c r="I62" s="22"/>
      <c r="J62" s="21" t="str">
        <f>IF(Tabela2[[#This Row],[Faltou Disciplina?]]="Não","-","")</f>
        <v/>
      </c>
      <c r="K62" s="21" t="str">
        <f>IF(Tabela2[[#This Row],[Faltou Disciplina?]]="Não","-","")</f>
        <v/>
      </c>
      <c r="L62" s="21" t="str">
        <f>IF(Tabela2[[#This Row],[Faltou Disciplina?]]="Não","-","")</f>
        <v/>
      </c>
      <c r="M62" s="21" t="str">
        <f>IF(Tabela2[[#This Row],[Faltou Disciplina?]]="Não","-","")</f>
        <v/>
      </c>
      <c r="N62" s="18" t="str" cm="1">
        <f t="array" ref="N6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3" spans="1:14" x14ac:dyDescent="0.25">
      <c r="A63" s="18" t="s">
        <v>13</v>
      </c>
      <c r="B63" s="18" t="s">
        <v>14</v>
      </c>
      <c r="C63" s="18" t="s">
        <v>85</v>
      </c>
      <c r="D63" s="19" t="s">
        <v>147</v>
      </c>
      <c r="E63" s="18">
        <f t="shared" si="2"/>
        <v>62</v>
      </c>
      <c r="F63" s="20" t="b">
        <v>0</v>
      </c>
      <c r="G63" s="18" t="str">
        <f>IF(Tabela2[[#This Row],[Augin?]]=TRUE,"LIBERADO PARA OBRA","PENDENTE")</f>
        <v>PENDENTE</v>
      </c>
      <c r="H63" s="21"/>
      <c r="I63" s="22"/>
      <c r="J63" s="21" t="str">
        <f>IF(Tabela2[[#This Row],[Faltou Disciplina?]]="Não","-","")</f>
        <v/>
      </c>
      <c r="K63" s="21" t="str">
        <f>IF(Tabela2[[#This Row],[Faltou Disciplina?]]="Não","-","")</f>
        <v/>
      </c>
      <c r="L63" s="21" t="str">
        <f>IF(Tabela2[[#This Row],[Faltou Disciplina?]]="Não","-","")</f>
        <v/>
      </c>
      <c r="M63" s="21" t="str">
        <f>IF(Tabela2[[#This Row],[Faltou Disciplina?]]="Não","-","")</f>
        <v/>
      </c>
      <c r="N63" s="18" t="str" cm="1">
        <f t="array" ref="N6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4" spans="1:14" x14ac:dyDescent="0.25">
      <c r="A64" s="18" t="s">
        <v>13</v>
      </c>
      <c r="B64" s="18" t="s">
        <v>14</v>
      </c>
      <c r="C64" s="18" t="s">
        <v>85</v>
      </c>
      <c r="D64" s="19" t="s">
        <v>142</v>
      </c>
      <c r="E64" s="18">
        <f t="shared" si="2"/>
        <v>63</v>
      </c>
      <c r="F64" s="20" t="b">
        <v>0</v>
      </c>
      <c r="G64" s="18" t="str">
        <f>IF(Tabela2[[#This Row],[Augin?]]=TRUE,"LIBERADO PARA OBRA","PENDENTE")</f>
        <v>PENDENTE</v>
      </c>
      <c r="H64" s="21"/>
      <c r="I64" s="22"/>
      <c r="J64" s="21" t="str">
        <f>IF(Tabela2[[#This Row],[Faltou Disciplina?]]="Não","-","")</f>
        <v/>
      </c>
      <c r="K64" s="21" t="str">
        <f>IF(Tabela2[[#This Row],[Faltou Disciplina?]]="Não","-","")</f>
        <v/>
      </c>
      <c r="L64" s="21" t="str">
        <f>IF(Tabela2[[#This Row],[Faltou Disciplina?]]="Não","-","")</f>
        <v/>
      </c>
      <c r="M64" s="21" t="str">
        <f>IF(Tabela2[[#This Row],[Faltou Disciplina?]]="Não","-","")</f>
        <v/>
      </c>
      <c r="N64" s="18" t="str" cm="1">
        <f t="array" ref="N6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5" spans="1:14" x14ac:dyDescent="0.25">
      <c r="A65" s="18" t="s">
        <v>13</v>
      </c>
      <c r="B65" s="18" t="s">
        <v>14</v>
      </c>
      <c r="C65" s="18" t="s">
        <v>85</v>
      </c>
      <c r="D65" s="19" t="s">
        <v>143</v>
      </c>
      <c r="E65" s="18">
        <f t="shared" si="2"/>
        <v>64</v>
      </c>
      <c r="F65" s="20" t="b">
        <v>0</v>
      </c>
      <c r="G65" s="18" t="str">
        <f>IF(Tabela2[[#This Row],[Augin?]]=TRUE,"LIBERADO PARA OBRA","PENDENTE")</f>
        <v>PENDENTE</v>
      </c>
      <c r="H65" s="21"/>
      <c r="I65" s="22"/>
      <c r="J65" s="21" t="str">
        <f>IF(Tabela2[[#This Row],[Faltou Disciplina?]]="Não","-","")</f>
        <v/>
      </c>
      <c r="K65" s="21" t="str">
        <f>IF(Tabela2[[#This Row],[Faltou Disciplina?]]="Não","-","")</f>
        <v/>
      </c>
      <c r="L65" s="21" t="str">
        <f>IF(Tabela2[[#This Row],[Faltou Disciplina?]]="Não","-","")</f>
        <v/>
      </c>
      <c r="M65" s="21" t="str">
        <f>IF(Tabela2[[#This Row],[Faltou Disciplina?]]="Não","-","")</f>
        <v/>
      </c>
      <c r="N65" s="18" t="str" cm="1">
        <f t="array" ref="N6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6" spans="1:14" x14ac:dyDescent="0.25">
      <c r="A66" s="18" t="s">
        <v>13</v>
      </c>
      <c r="B66" s="18" t="s">
        <v>14</v>
      </c>
      <c r="C66" s="18" t="s">
        <v>85</v>
      </c>
      <c r="D66" s="19" t="s">
        <v>144</v>
      </c>
      <c r="E66" s="18">
        <f t="shared" si="2"/>
        <v>65</v>
      </c>
      <c r="F66" s="20" t="b">
        <v>0</v>
      </c>
      <c r="G66" s="18" t="str">
        <f>IF(Tabela2[[#This Row],[Augin?]]=TRUE,"LIBERADO PARA OBRA","PENDENTE")</f>
        <v>PENDENTE</v>
      </c>
      <c r="H66" s="21"/>
      <c r="I66" s="22"/>
      <c r="J66" s="21" t="str">
        <f>IF(Tabela2[[#This Row],[Faltou Disciplina?]]="Não","-","")</f>
        <v/>
      </c>
      <c r="K66" s="21" t="str">
        <f>IF(Tabela2[[#This Row],[Faltou Disciplina?]]="Não","-","")</f>
        <v/>
      </c>
      <c r="L66" s="21" t="str">
        <f>IF(Tabela2[[#This Row],[Faltou Disciplina?]]="Não","-","")</f>
        <v/>
      </c>
      <c r="M66" s="21" t="str">
        <f>IF(Tabela2[[#This Row],[Faltou Disciplina?]]="Não","-","")</f>
        <v/>
      </c>
      <c r="N66" s="18" t="str" cm="1">
        <f t="array" ref="N6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7" spans="1:14" x14ac:dyDescent="0.25">
      <c r="A67" s="18" t="s">
        <v>13</v>
      </c>
      <c r="B67" s="18" t="s">
        <v>14</v>
      </c>
      <c r="C67" s="18" t="s">
        <v>85</v>
      </c>
      <c r="D67" s="19" t="s">
        <v>145</v>
      </c>
      <c r="E67" s="18">
        <f t="shared" si="2"/>
        <v>66</v>
      </c>
      <c r="F67" s="20" t="b">
        <v>0</v>
      </c>
      <c r="G67" s="18" t="str">
        <f>IF(Tabela2[[#This Row],[Augin?]]=TRUE,"LIBERADO PARA OBRA","PENDENTE")</f>
        <v>PENDENTE</v>
      </c>
      <c r="H67" s="21"/>
      <c r="I67" s="22"/>
      <c r="J67" s="21" t="str">
        <f>IF(Tabela2[[#This Row],[Faltou Disciplina?]]="Não","-","")</f>
        <v/>
      </c>
      <c r="K67" s="21" t="str">
        <f>IF(Tabela2[[#This Row],[Faltou Disciplina?]]="Não","-","")</f>
        <v/>
      </c>
      <c r="L67" s="21" t="str">
        <f>IF(Tabela2[[#This Row],[Faltou Disciplina?]]="Não","-","")</f>
        <v/>
      </c>
      <c r="M67" s="21" t="str">
        <f>IF(Tabela2[[#This Row],[Faltou Disciplina?]]="Não","-","")</f>
        <v/>
      </c>
      <c r="N67" s="18" t="str" cm="1">
        <f t="array" ref="N6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8" spans="1:14" x14ac:dyDescent="0.25">
      <c r="A68" s="18" t="s">
        <v>13</v>
      </c>
      <c r="B68" s="18" t="s">
        <v>14</v>
      </c>
      <c r="C68" s="18" t="s">
        <v>85</v>
      </c>
      <c r="D68" s="19" t="s">
        <v>146</v>
      </c>
      <c r="E68" s="18">
        <f t="shared" si="2"/>
        <v>67</v>
      </c>
      <c r="F68" s="20" t="b">
        <v>0</v>
      </c>
      <c r="G68" s="18" t="str">
        <f>IF(Tabela2[[#This Row],[Augin?]]=TRUE,"LIBERADO PARA OBRA","PENDENTE")</f>
        <v>PENDENTE</v>
      </c>
      <c r="H68" s="21"/>
      <c r="I68" s="22"/>
      <c r="J68" s="21" t="str">
        <f>IF(Tabela2[[#This Row],[Faltou Disciplina?]]="Não","-","")</f>
        <v/>
      </c>
      <c r="K68" s="21" t="str">
        <f>IF(Tabela2[[#This Row],[Faltou Disciplina?]]="Não","-","")</f>
        <v/>
      </c>
      <c r="L68" s="21" t="str">
        <f>IF(Tabela2[[#This Row],[Faltou Disciplina?]]="Não","-","")</f>
        <v/>
      </c>
      <c r="M68" s="21" t="str">
        <f>IF(Tabela2[[#This Row],[Faltou Disciplina?]]="Não","-","")</f>
        <v/>
      </c>
      <c r="N68" s="18" t="str" cm="1">
        <f t="array" ref="N6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69" spans="1:14" x14ac:dyDescent="0.25">
      <c r="A69" s="18" t="s">
        <v>13</v>
      </c>
      <c r="B69" s="18" t="s">
        <v>14</v>
      </c>
      <c r="C69" s="18" t="s">
        <v>85</v>
      </c>
      <c r="D69" s="19" t="s">
        <v>138</v>
      </c>
      <c r="E69" s="18">
        <f t="shared" si="2"/>
        <v>68</v>
      </c>
      <c r="F69" s="20" t="b">
        <v>0</v>
      </c>
      <c r="G69" s="18" t="str">
        <f>IF(Tabela2[[#This Row],[Augin?]]=TRUE,"LIBERADO PARA OBRA","PENDENTE")</f>
        <v>PENDENTE</v>
      </c>
      <c r="H69" s="21"/>
      <c r="I69" s="22"/>
      <c r="J69" s="21" t="str">
        <f>IF(Tabela2[[#This Row],[Faltou Disciplina?]]="Não","-","")</f>
        <v/>
      </c>
      <c r="K69" s="21" t="str">
        <f>IF(Tabela2[[#This Row],[Faltou Disciplina?]]="Não","-","")</f>
        <v/>
      </c>
      <c r="L69" s="21" t="str">
        <f>IF(Tabela2[[#This Row],[Faltou Disciplina?]]="Não","-","")</f>
        <v/>
      </c>
      <c r="M69" s="21" t="str">
        <f>IF(Tabela2[[#This Row],[Faltou Disciplina?]]="Não","-","")</f>
        <v/>
      </c>
      <c r="N69" s="18" t="str" cm="1">
        <f t="array" ref="N6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0" spans="1:14" x14ac:dyDescent="0.25">
      <c r="A70" s="18" t="s">
        <v>13</v>
      </c>
      <c r="B70" s="18" t="s">
        <v>14</v>
      </c>
      <c r="C70" s="18" t="s">
        <v>85</v>
      </c>
      <c r="D70" s="19" t="s">
        <v>139</v>
      </c>
      <c r="E70" s="18">
        <f t="shared" si="2"/>
        <v>69</v>
      </c>
      <c r="F70" s="20" t="b">
        <v>0</v>
      </c>
      <c r="G70" s="18" t="str">
        <f>IF(Tabela2[[#This Row],[Augin?]]=TRUE,"LIBERADO PARA OBRA","PENDENTE")</f>
        <v>PENDENTE</v>
      </c>
      <c r="H70" s="21"/>
      <c r="I70" s="22"/>
      <c r="J70" s="21" t="str">
        <f>IF(Tabela2[[#This Row],[Faltou Disciplina?]]="Não","-","")</f>
        <v/>
      </c>
      <c r="K70" s="21" t="str">
        <f>IF(Tabela2[[#This Row],[Faltou Disciplina?]]="Não","-","")</f>
        <v/>
      </c>
      <c r="L70" s="21" t="str">
        <f>IF(Tabela2[[#This Row],[Faltou Disciplina?]]="Não","-","")</f>
        <v/>
      </c>
      <c r="M70" s="21" t="str">
        <f>IF(Tabela2[[#This Row],[Faltou Disciplina?]]="Não","-","")</f>
        <v/>
      </c>
      <c r="N70" s="18" t="str" cm="1">
        <f t="array" ref="N7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1" spans="1:14" x14ac:dyDescent="0.25">
      <c r="A71" s="18" t="s">
        <v>13</v>
      </c>
      <c r="B71" s="18" t="s">
        <v>14</v>
      </c>
      <c r="C71" s="18" t="s">
        <v>85</v>
      </c>
      <c r="D71" s="19" t="s">
        <v>137</v>
      </c>
      <c r="E71" s="18">
        <f t="shared" si="2"/>
        <v>70</v>
      </c>
      <c r="F71" s="20" t="b">
        <v>0</v>
      </c>
      <c r="G71" s="18" t="str">
        <f>IF(Tabela2[[#This Row],[Augin?]]=TRUE,"LIBERADO PARA OBRA","PENDENTE")</f>
        <v>PENDENTE</v>
      </c>
      <c r="H71" s="21"/>
      <c r="I71" s="22"/>
      <c r="J71" s="21" t="str">
        <f>IF(Tabela2[[#This Row],[Faltou Disciplina?]]="Não","-","")</f>
        <v/>
      </c>
      <c r="K71" s="21" t="str">
        <f>IF(Tabela2[[#This Row],[Faltou Disciplina?]]="Não","-","")</f>
        <v/>
      </c>
      <c r="L71" s="21" t="str">
        <f>IF(Tabela2[[#This Row],[Faltou Disciplina?]]="Não","-","")</f>
        <v/>
      </c>
      <c r="M71" s="21" t="str">
        <f>IF(Tabela2[[#This Row],[Faltou Disciplina?]]="Não","-","")</f>
        <v/>
      </c>
      <c r="N71" s="18" t="str" cm="1">
        <f t="array" ref="N7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2" spans="1:14" x14ac:dyDescent="0.25">
      <c r="A72" s="18" t="s">
        <v>13</v>
      </c>
      <c r="B72" s="18" t="s">
        <v>14</v>
      </c>
      <c r="C72" s="18" t="s">
        <v>85</v>
      </c>
      <c r="D72" s="19" t="s">
        <v>135</v>
      </c>
      <c r="E72" s="18">
        <f t="shared" si="2"/>
        <v>71</v>
      </c>
      <c r="F72" s="20" t="b">
        <v>0</v>
      </c>
      <c r="G72" s="18" t="str">
        <f>IF(Tabela2[[#This Row],[Augin?]]=TRUE,"LIBERADO PARA OBRA","PENDENTE")</f>
        <v>PENDENTE</v>
      </c>
      <c r="H72" s="21"/>
      <c r="I72" s="22"/>
      <c r="J72" s="21" t="str">
        <f>IF(Tabela2[[#This Row],[Faltou Disciplina?]]="Não","-","")</f>
        <v/>
      </c>
      <c r="K72" s="21" t="str">
        <f>IF(Tabela2[[#This Row],[Faltou Disciplina?]]="Não","-","")</f>
        <v/>
      </c>
      <c r="L72" s="21" t="str">
        <f>IF(Tabela2[[#This Row],[Faltou Disciplina?]]="Não","-","")</f>
        <v/>
      </c>
      <c r="M72" s="21" t="str">
        <f>IF(Tabela2[[#This Row],[Faltou Disciplina?]]="Não","-","")</f>
        <v/>
      </c>
      <c r="N72" s="18" t="str" cm="1">
        <f t="array" ref="N7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3" spans="1:14" x14ac:dyDescent="0.25">
      <c r="A73" s="18" t="s">
        <v>13</v>
      </c>
      <c r="B73" s="18" t="s">
        <v>14</v>
      </c>
      <c r="C73" s="18" t="s">
        <v>85</v>
      </c>
      <c r="D73" s="19" t="s">
        <v>136</v>
      </c>
      <c r="E73" s="18">
        <f t="shared" si="2"/>
        <v>72</v>
      </c>
      <c r="F73" s="20" t="b">
        <v>0</v>
      </c>
      <c r="G73" s="18" t="str">
        <f>IF(Tabela2[[#This Row],[Augin?]]=TRUE,"LIBERADO PARA OBRA","PENDENTE")</f>
        <v>PENDENTE</v>
      </c>
      <c r="H73" s="21"/>
      <c r="I73" s="22"/>
      <c r="J73" s="21" t="str">
        <f>IF(Tabela2[[#This Row],[Faltou Disciplina?]]="Não","-","")</f>
        <v/>
      </c>
      <c r="K73" s="21" t="str">
        <f>IF(Tabela2[[#This Row],[Faltou Disciplina?]]="Não","-","")</f>
        <v/>
      </c>
      <c r="L73" s="21" t="str">
        <f>IF(Tabela2[[#This Row],[Faltou Disciplina?]]="Não","-","")</f>
        <v/>
      </c>
      <c r="M73" s="21" t="str">
        <f>IF(Tabela2[[#This Row],[Faltou Disciplina?]]="Não","-","")</f>
        <v/>
      </c>
      <c r="N73" s="18" t="str" cm="1">
        <f t="array" ref="N7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4" spans="1:14" x14ac:dyDescent="0.25">
      <c r="A74" s="18" t="s">
        <v>13</v>
      </c>
      <c r="B74" s="18" t="s">
        <v>14</v>
      </c>
      <c r="C74" s="18" t="s">
        <v>85</v>
      </c>
      <c r="D74" s="19" t="s">
        <v>141</v>
      </c>
      <c r="E74" s="18">
        <f t="shared" si="2"/>
        <v>73</v>
      </c>
      <c r="F74" s="20" t="b">
        <v>0</v>
      </c>
      <c r="G74" s="18" t="str">
        <f>IF(Tabela2[[#This Row],[Augin?]]=TRUE,"LIBERADO PARA OBRA","PENDENTE")</f>
        <v>PENDENTE</v>
      </c>
      <c r="H74" s="21"/>
      <c r="I74" s="22"/>
      <c r="J74" s="21" t="str">
        <f>IF(Tabela2[[#This Row],[Faltou Disciplina?]]="Não","-","")</f>
        <v/>
      </c>
      <c r="K74" s="21" t="str">
        <f>IF(Tabela2[[#This Row],[Faltou Disciplina?]]="Não","-","")</f>
        <v/>
      </c>
      <c r="L74" s="21" t="str">
        <f>IF(Tabela2[[#This Row],[Faltou Disciplina?]]="Não","-","")</f>
        <v/>
      </c>
      <c r="M74" s="21" t="str">
        <f>IF(Tabela2[[#This Row],[Faltou Disciplina?]]="Não","-","")</f>
        <v/>
      </c>
      <c r="N74" s="18" t="str" cm="1">
        <f t="array" ref="N7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5" spans="1:14" x14ac:dyDescent="0.25">
      <c r="A75" s="18" t="s">
        <v>13</v>
      </c>
      <c r="B75" s="18" t="s">
        <v>14</v>
      </c>
      <c r="C75" s="18" t="s">
        <v>85</v>
      </c>
      <c r="D75" s="19" t="s">
        <v>140</v>
      </c>
      <c r="E75" s="18">
        <f t="shared" si="2"/>
        <v>74</v>
      </c>
      <c r="F75" s="20" t="b">
        <v>0</v>
      </c>
      <c r="G75" s="18" t="str">
        <f>IF(Tabela2[[#This Row],[Augin?]]=TRUE,"LIBERADO PARA OBRA","PENDENTE")</f>
        <v>PENDENTE</v>
      </c>
      <c r="H75" s="21"/>
      <c r="I75" s="22"/>
      <c r="J75" s="21" t="str">
        <f>IF(Tabela2[[#This Row],[Faltou Disciplina?]]="Não","-","")</f>
        <v/>
      </c>
      <c r="K75" s="21" t="str">
        <f>IF(Tabela2[[#This Row],[Faltou Disciplina?]]="Não","-","")</f>
        <v/>
      </c>
      <c r="L75" s="21" t="str">
        <f>IF(Tabela2[[#This Row],[Faltou Disciplina?]]="Não","-","")</f>
        <v/>
      </c>
      <c r="M75" s="21" t="str">
        <f>IF(Tabela2[[#This Row],[Faltou Disciplina?]]="Não","-","")</f>
        <v/>
      </c>
      <c r="N75" s="18" t="str" cm="1">
        <f t="array" ref="N7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6" spans="1:14" x14ac:dyDescent="0.25">
      <c r="A76" s="18" t="s">
        <v>13</v>
      </c>
      <c r="B76" s="18" t="s">
        <v>18</v>
      </c>
      <c r="C76" s="18" t="s">
        <v>15</v>
      </c>
      <c r="D76" s="19" t="s">
        <v>19</v>
      </c>
      <c r="E76" s="18">
        <f t="shared" si="2"/>
        <v>75</v>
      </c>
      <c r="F76" s="20" t="b">
        <v>1</v>
      </c>
      <c r="G76" s="18" t="str">
        <f>IF(Tabela2[[#This Row],[Augin?]]=TRUE,"LIBERADO PARA OBRA","PENDENTE")</f>
        <v>LIBERADO PARA OBRA</v>
      </c>
      <c r="H76" s="21">
        <v>45982</v>
      </c>
      <c r="I76" s="22" t="s">
        <v>20</v>
      </c>
      <c r="J76" s="18" t="s">
        <v>21</v>
      </c>
      <c r="K76" s="19" t="s">
        <v>22</v>
      </c>
      <c r="L76" s="21" t="str">
        <f>IF(Tabela2[[#This Row],[Faltou Disciplina?]]="Não","-","")</f>
        <v/>
      </c>
      <c r="M76" s="21" t="str">
        <f>IF(Tabela2[[#This Row],[Faltou Disciplina?]]="Não","-","")</f>
        <v/>
      </c>
      <c r="N76" s="18" t="str" cm="1">
        <f t="array" ref="N76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77" spans="1:14" x14ac:dyDescent="0.25">
      <c r="A77" s="18" t="s">
        <v>13</v>
      </c>
      <c r="B77" s="18" t="s">
        <v>18</v>
      </c>
      <c r="C77" s="18" t="s">
        <v>15</v>
      </c>
      <c r="D77" s="24" t="s">
        <v>56</v>
      </c>
      <c r="E77" s="18">
        <f t="shared" si="2"/>
        <v>76</v>
      </c>
      <c r="F77" s="20" t="b">
        <v>1</v>
      </c>
      <c r="G77" s="18" t="str">
        <f>IF(Tabela2[[#This Row],[Augin?]]=TRUE,"LIBERADO PARA OBRA","PENDENTE")</f>
        <v>LIBERADO PARA OBRA</v>
      </c>
      <c r="H77" s="21"/>
      <c r="I77" s="22"/>
      <c r="J77" s="21" t="str">
        <f>IF(Tabela2[[#This Row],[Faltou Disciplina?]]="Não","-","")</f>
        <v/>
      </c>
      <c r="K77" s="21" t="str">
        <f>IF(Tabela2[[#This Row],[Faltou Disciplina?]]="Não","-","")</f>
        <v/>
      </c>
      <c r="L77" s="21" t="str">
        <f>IF(Tabela2[[#This Row],[Faltou Disciplina?]]="Não","-","")</f>
        <v/>
      </c>
      <c r="M77" s="21" t="str">
        <f>IF(Tabela2[[#This Row],[Faltou Disciplina?]]="Não","-","")</f>
        <v/>
      </c>
      <c r="N77" s="18" t="str" cm="1">
        <f t="array" ref="N7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8" spans="1:14" x14ac:dyDescent="0.25">
      <c r="A78" s="18" t="s">
        <v>13</v>
      </c>
      <c r="B78" s="18" t="s">
        <v>18</v>
      </c>
      <c r="C78" s="18" t="s">
        <v>15</v>
      </c>
      <c r="D78" s="24" t="s">
        <v>57</v>
      </c>
      <c r="E78" s="18">
        <f t="shared" si="2"/>
        <v>77</v>
      </c>
      <c r="F78" s="20" t="b">
        <v>1</v>
      </c>
      <c r="G78" s="18" t="str">
        <f>IF(Tabela2[[#This Row],[Augin?]]=TRUE,"LIBERADO PARA OBRA","PENDENTE")</f>
        <v>LIBERADO PARA OBRA</v>
      </c>
      <c r="H78" s="21"/>
      <c r="I78" s="22"/>
      <c r="J78" s="21" t="str">
        <f>IF(Tabela2[[#This Row],[Faltou Disciplina?]]="Não","-","")</f>
        <v/>
      </c>
      <c r="K78" s="21" t="str">
        <f>IF(Tabela2[[#This Row],[Faltou Disciplina?]]="Não","-","")</f>
        <v/>
      </c>
      <c r="L78" s="21" t="str">
        <f>IF(Tabela2[[#This Row],[Faltou Disciplina?]]="Não","-","")</f>
        <v/>
      </c>
      <c r="M78" s="21" t="str">
        <f>IF(Tabela2[[#This Row],[Faltou Disciplina?]]="Não","-","")</f>
        <v/>
      </c>
      <c r="N78" s="18" t="str" cm="1">
        <f t="array" ref="N7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79" spans="1:14" x14ac:dyDescent="0.25">
      <c r="A79" s="18" t="s">
        <v>13</v>
      </c>
      <c r="B79" s="18" t="s">
        <v>18</v>
      </c>
      <c r="C79" s="18" t="s">
        <v>15</v>
      </c>
      <c r="D79" s="19" t="s">
        <v>65</v>
      </c>
      <c r="E79" s="18">
        <f t="shared" si="2"/>
        <v>78</v>
      </c>
      <c r="F79" s="20" t="b">
        <v>1</v>
      </c>
      <c r="G79" s="18" t="str">
        <f>IF(Tabela2[[#This Row],[Augin?]]=TRUE,"LIBERADO PARA OBRA","PENDENTE")</f>
        <v>LIBERADO PARA OBRA</v>
      </c>
      <c r="H79" s="21"/>
      <c r="I79" s="22"/>
      <c r="J79" s="21" t="str">
        <f>IF(Tabela2[[#This Row],[Faltou Disciplina?]]="Não","-","")</f>
        <v/>
      </c>
      <c r="K79" s="21" t="str">
        <f>IF(Tabela2[[#This Row],[Faltou Disciplina?]]="Não","-","")</f>
        <v/>
      </c>
      <c r="L79" s="21" t="str">
        <f>IF(Tabela2[[#This Row],[Faltou Disciplina?]]="Não","-","")</f>
        <v/>
      </c>
      <c r="M79" s="21" t="str">
        <f>IF(Tabela2[[#This Row],[Faltou Disciplina?]]="Não","-","")</f>
        <v/>
      </c>
      <c r="N79" s="18" t="str" cm="1">
        <f t="array" ref="N7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80" spans="1:14" x14ac:dyDescent="0.25">
      <c r="A80" s="18" t="s">
        <v>13</v>
      </c>
      <c r="B80" s="18" t="s">
        <v>18</v>
      </c>
      <c r="C80" s="18" t="s">
        <v>15</v>
      </c>
      <c r="D80" s="19" t="s">
        <v>91</v>
      </c>
      <c r="E80" s="18">
        <f t="shared" si="2"/>
        <v>79</v>
      </c>
      <c r="F80" s="20" t="b">
        <v>1</v>
      </c>
      <c r="G80" s="18" t="str">
        <f>IF(Tabela2[[#This Row],[Augin?]]=TRUE,"LIBERADO PARA OBRA","PENDENTE")</f>
        <v>LIBERADO PARA OBRA</v>
      </c>
      <c r="H80" s="21"/>
      <c r="I80" s="22"/>
      <c r="J80" s="21" t="str">
        <f>IF(Tabela2[[#This Row],[Faltou Disciplina?]]="Não","-","")</f>
        <v/>
      </c>
      <c r="K80" s="21" t="str">
        <f>IF(Tabela2[[#This Row],[Faltou Disciplina?]]="Não","-","")</f>
        <v/>
      </c>
      <c r="L80" s="21" t="str">
        <f>IF(Tabela2[[#This Row],[Faltou Disciplina?]]="Não","-","")</f>
        <v/>
      </c>
      <c r="M80" s="21" t="str">
        <f>IF(Tabela2[[#This Row],[Faltou Disciplina?]]="Não","-","")</f>
        <v/>
      </c>
      <c r="N80" s="18" t="str" cm="1">
        <f t="array" ref="N8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81" spans="1:14" x14ac:dyDescent="0.25">
      <c r="A81" s="18" t="s">
        <v>13</v>
      </c>
      <c r="B81" s="18" t="s">
        <v>18</v>
      </c>
      <c r="C81" s="18" t="s">
        <v>15</v>
      </c>
      <c r="D81" s="19" t="s">
        <v>64</v>
      </c>
      <c r="E81" s="18">
        <f t="shared" si="2"/>
        <v>80</v>
      </c>
      <c r="F81" s="20" t="b">
        <v>1</v>
      </c>
      <c r="G81" s="18" t="str">
        <f>IF(Tabela2[[#This Row],[Augin?]]=TRUE,"LIBERADO PARA OBRA","PENDENTE")</f>
        <v>LIBERADO PARA OBRA</v>
      </c>
      <c r="H81" s="21"/>
      <c r="I81" s="22"/>
      <c r="J81" s="21" t="str">
        <f>IF(Tabela2[[#This Row],[Faltou Disciplina?]]="Não","-","")</f>
        <v/>
      </c>
      <c r="K81" s="21" t="str">
        <f>IF(Tabela2[[#This Row],[Faltou Disciplina?]]="Não","-","")</f>
        <v/>
      </c>
      <c r="L81" s="21" t="str">
        <f>IF(Tabela2[[#This Row],[Faltou Disciplina?]]="Não","-","")</f>
        <v/>
      </c>
      <c r="M81" s="21" t="str">
        <f>IF(Tabela2[[#This Row],[Faltou Disciplina?]]="Não","-","")</f>
        <v/>
      </c>
      <c r="N81" s="18" t="str" cm="1">
        <f t="array" ref="N8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82" spans="1:14" x14ac:dyDescent="0.25">
      <c r="A82" s="18" t="s">
        <v>13</v>
      </c>
      <c r="B82" s="18" t="s">
        <v>18</v>
      </c>
      <c r="C82" s="18" t="s">
        <v>15</v>
      </c>
      <c r="D82" s="19" t="s">
        <v>33</v>
      </c>
      <c r="E82" s="18">
        <f t="shared" si="2"/>
        <v>81</v>
      </c>
      <c r="F82" s="20" t="b">
        <v>1</v>
      </c>
      <c r="G82" s="18" t="str">
        <f>IF(Tabela2[[#This Row],[Augin?]]=TRUE,"LIBERADO PARA OBRA","PENDENTE")</f>
        <v>LIBERADO PARA OBRA</v>
      </c>
      <c r="H82" s="21">
        <v>45931</v>
      </c>
      <c r="I82" s="22" t="s">
        <v>17</v>
      </c>
      <c r="J82" s="21" t="str">
        <f>IF(Tabela2[[#This Row],[Faltou Disciplina?]]="Não","-","")</f>
        <v>-</v>
      </c>
      <c r="K82" s="21" t="str">
        <f>IF(Tabela2[[#This Row],[Faltou Disciplina?]]="Não","-","")</f>
        <v>-</v>
      </c>
      <c r="L82" s="21" t="str">
        <f>IF(Tabela2[[#This Row],[Faltou Disciplina?]]="Não","-","")</f>
        <v>-</v>
      </c>
      <c r="M82" s="21" t="str">
        <f>IF(Tabela2[[#This Row],[Faltou Disciplina?]]="Não","-","")</f>
        <v>-</v>
      </c>
      <c r="N82" s="18" t="str" cm="1">
        <f t="array" ref="N82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83" spans="1:14" x14ac:dyDescent="0.25">
      <c r="A83" s="18" t="s">
        <v>13</v>
      </c>
      <c r="B83" s="18" t="s">
        <v>18</v>
      </c>
      <c r="C83" s="18" t="s">
        <v>15</v>
      </c>
      <c r="D83" s="19" t="s">
        <v>31</v>
      </c>
      <c r="E83" s="18">
        <f t="shared" si="2"/>
        <v>82</v>
      </c>
      <c r="F83" s="20" t="b">
        <v>1</v>
      </c>
      <c r="G83" s="18" t="str">
        <f>IF(Tabela2[[#This Row],[Augin?]]=TRUE,"LIBERADO PARA OBRA","PENDENTE")</f>
        <v>LIBERADO PARA OBRA</v>
      </c>
      <c r="H83" s="21">
        <v>45931</v>
      </c>
      <c r="I83" s="22" t="s">
        <v>17</v>
      </c>
      <c r="J83" s="21" t="str">
        <f>IF(Tabela2[[#This Row],[Faltou Disciplina?]]="Não","-","")</f>
        <v>-</v>
      </c>
      <c r="K83" s="21" t="str">
        <f>IF(Tabela2[[#This Row],[Faltou Disciplina?]]="Não","-","")</f>
        <v>-</v>
      </c>
      <c r="L83" s="21" t="str">
        <f>IF(Tabela2[[#This Row],[Faltou Disciplina?]]="Não","-","")</f>
        <v>-</v>
      </c>
      <c r="M83" s="21" t="str">
        <f>IF(Tabela2[[#This Row],[Faltou Disciplina?]]="Não","-","")</f>
        <v>-</v>
      </c>
      <c r="N83" s="18" t="str" cm="1">
        <f t="array" ref="N83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84" spans="1:14" x14ac:dyDescent="0.25">
      <c r="A84" s="18" t="s">
        <v>13</v>
      </c>
      <c r="B84" s="18" t="s">
        <v>18</v>
      </c>
      <c r="C84" s="18" t="s">
        <v>15</v>
      </c>
      <c r="D84" s="19" t="s">
        <v>66</v>
      </c>
      <c r="E84" s="18">
        <f t="shared" si="2"/>
        <v>83</v>
      </c>
      <c r="F84" s="20" t="b">
        <v>1</v>
      </c>
      <c r="G84" s="18" t="str">
        <f>IF(Tabela2[[#This Row],[Augin?]]=TRUE,"LIBERADO PARA OBRA","PENDENTE")</f>
        <v>LIBERADO PARA OBRA</v>
      </c>
      <c r="H84" s="21"/>
      <c r="I84" s="22"/>
      <c r="J84" s="21" t="str">
        <f>IF(Tabela2[[#This Row],[Faltou Disciplina?]]="Não","-","")</f>
        <v/>
      </c>
      <c r="K84" s="21" t="str">
        <f>IF(Tabela2[[#This Row],[Faltou Disciplina?]]="Não","-","")</f>
        <v/>
      </c>
      <c r="L84" s="21" t="str">
        <f>IF(Tabela2[[#This Row],[Faltou Disciplina?]]="Não","-","")</f>
        <v/>
      </c>
      <c r="M84" s="21" t="str">
        <f>IF(Tabela2[[#This Row],[Faltou Disciplina?]]="Não","-","")</f>
        <v/>
      </c>
      <c r="N84" s="18" t="str" cm="1">
        <f t="array" ref="N8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85" spans="1:14" x14ac:dyDescent="0.25">
      <c r="A85" s="18" t="s">
        <v>13</v>
      </c>
      <c r="B85" s="18" t="s">
        <v>18</v>
      </c>
      <c r="C85" s="18" t="s">
        <v>15</v>
      </c>
      <c r="D85" s="24" t="s">
        <v>59</v>
      </c>
      <c r="E85" s="18">
        <f t="shared" si="2"/>
        <v>84</v>
      </c>
      <c r="F85" s="20" t="b">
        <v>1</v>
      </c>
      <c r="G85" s="18" t="str">
        <f>IF(Tabela2[[#This Row],[Augin?]]=TRUE,"LIBERADO PARA OBRA","PENDENTE")</f>
        <v>LIBERADO PARA OBRA</v>
      </c>
      <c r="H85" s="21"/>
      <c r="I85" s="22"/>
      <c r="J85" s="21" t="str">
        <f>IF(Tabela2[[#This Row],[Faltou Disciplina?]]="Não","-","")</f>
        <v/>
      </c>
      <c r="K85" s="21" t="str">
        <f>IF(Tabela2[[#This Row],[Faltou Disciplina?]]="Não","-","")</f>
        <v/>
      </c>
      <c r="L85" s="21" t="str">
        <f>IF(Tabela2[[#This Row],[Faltou Disciplina?]]="Não","-","")</f>
        <v/>
      </c>
      <c r="M85" s="21" t="str">
        <f>IF(Tabela2[[#This Row],[Faltou Disciplina?]]="Não","-","")</f>
        <v/>
      </c>
      <c r="N85" s="18" t="str" cm="1">
        <f t="array" ref="N8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86" spans="1:14" x14ac:dyDescent="0.25">
      <c r="A86" s="18" t="s">
        <v>13</v>
      </c>
      <c r="B86" s="18" t="s">
        <v>18</v>
      </c>
      <c r="C86" s="18" t="s">
        <v>15</v>
      </c>
      <c r="D86" s="19" t="s">
        <v>42</v>
      </c>
      <c r="E86" s="18">
        <f t="shared" si="2"/>
        <v>85</v>
      </c>
      <c r="F86" s="20" t="b">
        <v>1</v>
      </c>
      <c r="G86" s="18" t="str">
        <f>IF(Tabela2[[#This Row],[Augin?]]=TRUE,"LIBERADO PARA OBRA","PENDENTE")</f>
        <v>LIBERADO PARA OBRA</v>
      </c>
      <c r="H86" s="21">
        <v>45982</v>
      </c>
      <c r="I86" s="22" t="s">
        <v>20</v>
      </c>
      <c r="J86" s="18" t="s">
        <v>43</v>
      </c>
      <c r="K86" s="19" t="s">
        <v>44</v>
      </c>
      <c r="L86" s="21" t="str">
        <f>IF(Tabela2[[#This Row],[Faltou Disciplina?]]="Não","-","")</f>
        <v/>
      </c>
      <c r="M86" s="21" t="str">
        <f>IF(Tabela2[[#This Row],[Faltou Disciplina?]]="Não","-","")</f>
        <v/>
      </c>
      <c r="N86" s="18" t="str" cm="1">
        <f t="array" ref="N86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87" spans="1:14" x14ac:dyDescent="0.25">
      <c r="A87" s="18" t="s">
        <v>13</v>
      </c>
      <c r="B87" s="18" t="s">
        <v>18</v>
      </c>
      <c r="C87" s="18" t="s">
        <v>15</v>
      </c>
      <c r="D87" s="19" t="s">
        <v>45</v>
      </c>
      <c r="E87" s="18">
        <f t="shared" si="2"/>
        <v>86</v>
      </c>
      <c r="F87" s="20" t="b">
        <v>1</v>
      </c>
      <c r="G87" s="18" t="str">
        <f>IF(Tabela2[[#This Row],[Augin?]]=TRUE,"LIBERADO PARA OBRA","PENDENTE")</f>
        <v>LIBERADO PARA OBRA</v>
      </c>
      <c r="H87" s="21">
        <v>45982</v>
      </c>
      <c r="I87" s="22" t="s">
        <v>20</v>
      </c>
      <c r="J87" s="18" t="s">
        <v>46</v>
      </c>
      <c r="K87" s="19" t="s">
        <v>44</v>
      </c>
      <c r="L87" s="21" t="str">
        <f>IF(Tabela2[[#This Row],[Faltou Disciplina?]]="Não","-","")</f>
        <v/>
      </c>
      <c r="M87" s="21" t="str">
        <f>IF(Tabela2[[#This Row],[Faltou Disciplina?]]="Não","-","")</f>
        <v/>
      </c>
      <c r="N87" s="18" t="str" cm="1">
        <f t="array" ref="N87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88" spans="1:14" x14ac:dyDescent="0.25">
      <c r="A88" s="18" t="s">
        <v>13</v>
      </c>
      <c r="B88" s="18" t="s">
        <v>18</v>
      </c>
      <c r="C88" s="18" t="s">
        <v>15</v>
      </c>
      <c r="D88" s="19" t="s">
        <v>53</v>
      </c>
      <c r="E88" s="18">
        <f t="shared" si="2"/>
        <v>87</v>
      </c>
      <c r="F88" s="20" t="b">
        <v>1</v>
      </c>
      <c r="G88" s="18" t="str">
        <f>IF(Tabela2[[#This Row],[Augin?]]=TRUE,"LIBERADO PARA OBRA","PENDENTE")</f>
        <v>LIBERADO PARA OBRA</v>
      </c>
      <c r="H88" s="21">
        <v>45982</v>
      </c>
      <c r="I88" s="22" t="s">
        <v>20</v>
      </c>
      <c r="J88" s="18" t="s">
        <v>54</v>
      </c>
      <c r="K88" s="19" t="s">
        <v>44</v>
      </c>
      <c r="L88" s="21" t="str">
        <f>IF(Tabela2[[#This Row],[Faltou Disciplina?]]="Não","-","")</f>
        <v/>
      </c>
      <c r="M88" s="21" t="str">
        <f>IF(Tabela2[[#This Row],[Faltou Disciplina?]]="Não","-","")</f>
        <v/>
      </c>
      <c r="N88" s="18" t="str" cm="1">
        <f t="array" ref="N88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89" spans="1:14" x14ac:dyDescent="0.25">
      <c r="A89" s="18" t="s">
        <v>13</v>
      </c>
      <c r="B89" s="18" t="s">
        <v>18</v>
      </c>
      <c r="C89" s="18" t="s">
        <v>15</v>
      </c>
      <c r="D89" s="19" t="s">
        <v>306</v>
      </c>
      <c r="E89" s="18">
        <f t="shared" si="2"/>
        <v>88</v>
      </c>
      <c r="F89" s="20" t="b">
        <v>1</v>
      </c>
      <c r="G89" s="18" t="str">
        <f>IF(Tabela2[[#This Row],[Augin?]]=TRUE,"LIBERADO PARA OBRA","PENDENTE")</f>
        <v>LIBERADO PARA OBRA</v>
      </c>
      <c r="H89" s="21">
        <v>46006</v>
      </c>
      <c r="I89" s="22" t="s">
        <v>17</v>
      </c>
      <c r="J89" s="21" t="str">
        <f>IF(Tabela2[[#This Row],[Faltou Disciplina?]]="Não","-","")</f>
        <v>-</v>
      </c>
      <c r="K89" s="21" t="str">
        <f>IF(Tabela2[[#This Row],[Faltou Disciplina?]]="Não","-","")</f>
        <v>-</v>
      </c>
      <c r="L89" s="21" t="str">
        <f>IF(Tabela2[[#This Row],[Faltou Disciplina?]]="Não","-","")</f>
        <v>-</v>
      </c>
      <c r="M89" s="21" t="str">
        <f>IF(Tabela2[[#This Row],[Faltou Disciplina?]]="Não","-","")</f>
        <v>-</v>
      </c>
      <c r="N89" s="18" t="str" cm="1">
        <f t="array" ref="N89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90" spans="1:14" x14ac:dyDescent="0.25">
      <c r="A90" s="18" t="s">
        <v>13</v>
      </c>
      <c r="B90" s="18" t="s">
        <v>18</v>
      </c>
      <c r="C90" s="18" t="s">
        <v>15</v>
      </c>
      <c r="D90" s="19" t="s">
        <v>71</v>
      </c>
      <c r="E90" s="18">
        <f t="shared" si="2"/>
        <v>89</v>
      </c>
      <c r="F90" s="20" t="b">
        <v>1</v>
      </c>
      <c r="G90" s="18" t="str">
        <f>IF(Tabela2[[#This Row],[Augin?]]=TRUE,"LIBERADO PARA OBRA","PENDENTE")</f>
        <v>LIBERADO PARA OBRA</v>
      </c>
      <c r="H90" s="21">
        <v>46006</v>
      </c>
      <c r="I90" s="22" t="s">
        <v>20</v>
      </c>
      <c r="J90" s="21" t="s">
        <v>296</v>
      </c>
      <c r="K90" s="21" t="s">
        <v>297</v>
      </c>
      <c r="L90" s="21" t="str">
        <f>IF(Tabela2[[#This Row],[Faltou Disciplina?]]="Não","-","")</f>
        <v/>
      </c>
      <c r="M90" s="21" t="str">
        <f>IF(Tabela2[[#This Row],[Faltou Disciplina?]]="Não","-","")</f>
        <v/>
      </c>
      <c r="N90" s="18" t="str" cm="1">
        <f t="array" ref="N90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91" spans="1:14" x14ac:dyDescent="0.25">
      <c r="A91" s="18" t="s">
        <v>13</v>
      </c>
      <c r="B91" s="18" t="s">
        <v>18</v>
      </c>
      <c r="C91" s="18" t="s">
        <v>15</v>
      </c>
      <c r="D91" s="19" t="s">
        <v>68</v>
      </c>
      <c r="E91" s="18">
        <f t="shared" si="2"/>
        <v>90</v>
      </c>
      <c r="F91" s="20" t="b">
        <v>1</v>
      </c>
      <c r="G91" s="18" t="str">
        <f>IF(Tabela2[[#This Row],[Augin?]]=TRUE,"LIBERADO PARA OBRA","PENDENTE")</f>
        <v>LIBERADO PARA OBRA</v>
      </c>
      <c r="H91" s="21">
        <v>46006</v>
      </c>
      <c r="I91" s="22" t="s">
        <v>20</v>
      </c>
      <c r="J91" s="21" t="s">
        <v>304</v>
      </c>
      <c r="K91" s="21" t="s">
        <v>305</v>
      </c>
      <c r="L91" s="21" t="str">
        <f>IF(Tabela2[[#This Row],[Faltou Disciplina?]]="Não","-","")</f>
        <v/>
      </c>
      <c r="M91" s="21" t="str">
        <f>IF(Tabela2[[#This Row],[Faltou Disciplina?]]="Não","-","")</f>
        <v/>
      </c>
      <c r="N91" s="18" t="str" cm="1">
        <f t="array" ref="N91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92" spans="1:14" x14ac:dyDescent="0.25">
      <c r="A92" s="18" t="s">
        <v>13</v>
      </c>
      <c r="B92" s="18" t="s">
        <v>18</v>
      </c>
      <c r="C92" s="18" t="s">
        <v>15</v>
      </c>
      <c r="D92" s="19" t="s">
        <v>58</v>
      </c>
      <c r="E92" s="18">
        <f t="shared" si="2"/>
        <v>91</v>
      </c>
      <c r="F92" s="20" t="b">
        <v>1</v>
      </c>
      <c r="G92" s="18" t="str">
        <f>IF(Tabela2[[#This Row],[Augin?]]=TRUE,"LIBERADO PARA OBRA","PENDENTE")</f>
        <v>LIBERADO PARA OBRA</v>
      </c>
      <c r="H92" s="21">
        <v>46006</v>
      </c>
      <c r="I92" s="22" t="s">
        <v>17</v>
      </c>
      <c r="J92" s="21" t="str">
        <f>IF(Tabela2[[#This Row],[Faltou Disciplina?]]="Não","-","")</f>
        <v>-</v>
      </c>
      <c r="K92" s="21" t="str">
        <f>IF(Tabela2[[#This Row],[Faltou Disciplina?]]="Não","-","")</f>
        <v>-</v>
      </c>
      <c r="L92" s="21" t="str">
        <f>IF(Tabela2[[#This Row],[Faltou Disciplina?]]="Não","-","")</f>
        <v>-</v>
      </c>
      <c r="M92" s="21" t="str">
        <f>IF(Tabela2[[#This Row],[Faltou Disciplina?]]="Não","-","")</f>
        <v>-</v>
      </c>
      <c r="N92" s="18" t="str" cm="1">
        <f t="array" ref="N92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93" spans="1:14" x14ac:dyDescent="0.25">
      <c r="A93" s="18" t="s">
        <v>13</v>
      </c>
      <c r="B93" s="18" t="s">
        <v>18</v>
      </c>
      <c r="C93" s="18" t="s">
        <v>15</v>
      </c>
      <c r="D93" s="23" t="s">
        <v>60</v>
      </c>
      <c r="E93" s="18">
        <f t="shared" si="2"/>
        <v>92</v>
      </c>
      <c r="F93" s="20" t="b">
        <v>1</v>
      </c>
      <c r="G93" s="18" t="str">
        <f>IF(Tabela2[[#This Row],[Augin?]]=TRUE,"LIBERADO PARA OBRA","PENDENTE")</f>
        <v>LIBERADO PARA OBRA</v>
      </c>
      <c r="H93" s="21">
        <v>46059</v>
      </c>
      <c r="I93" s="22" t="s">
        <v>20</v>
      </c>
      <c r="J93" s="21" t="s">
        <v>334</v>
      </c>
      <c r="K93" s="19" t="s">
        <v>44</v>
      </c>
      <c r="L93" s="21" t="str">
        <f>IF(Tabela2[[#This Row],[Faltou Disciplina?]]="Não","-","")</f>
        <v/>
      </c>
      <c r="M93" s="21" t="str">
        <f>IF(Tabela2[[#This Row],[Faltou Disciplina?]]="Não","-","")</f>
        <v/>
      </c>
      <c r="N93" s="18" t="str" cm="1">
        <f t="array" ref="N93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94" spans="1:14" x14ac:dyDescent="0.25">
      <c r="A94" s="18" t="s">
        <v>13</v>
      </c>
      <c r="B94" s="18" t="s">
        <v>18</v>
      </c>
      <c r="C94" s="18" t="s">
        <v>15</v>
      </c>
      <c r="D94" s="19" t="s">
        <v>67</v>
      </c>
      <c r="E94" s="18">
        <f t="shared" si="2"/>
        <v>93</v>
      </c>
      <c r="F94" s="20" t="b">
        <v>1</v>
      </c>
      <c r="G94" s="18" t="str">
        <f>IF(Tabela2[[#This Row],[Augin?]]=TRUE,"LIBERADO PARA OBRA","PENDENTE")</f>
        <v>LIBERADO PARA OBRA</v>
      </c>
      <c r="H94" s="21"/>
      <c r="I94" s="22"/>
      <c r="J94" s="21" t="str">
        <f>IF(Tabela2[[#This Row],[Faltou Disciplina?]]="Não","-","")</f>
        <v/>
      </c>
      <c r="K94" s="21" t="str">
        <f>IF(Tabela2[[#This Row],[Faltou Disciplina?]]="Não","-","")</f>
        <v/>
      </c>
      <c r="L94" s="21" t="str">
        <f>IF(Tabela2[[#This Row],[Faltou Disciplina?]]="Não","-","")</f>
        <v/>
      </c>
      <c r="M94" s="21" t="str">
        <f>IF(Tabela2[[#This Row],[Faltou Disciplina?]]="Não","-","")</f>
        <v/>
      </c>
      <c r="N94" s="18" t="str" cm="1">
        <f t="array" ref="N9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95" spans="1:14" x14ac:dyDescent="0.25">
      <c r="A95" s="18" t="s">
        <v>13</v>
      </c>
      <c r="B95" s="18" t="s">
        <v>18</v>
      </c>
      <c r="C95" s="18" t="s">
        <v>15</v>
      </c>
      <c r="D95" s="23" t="s">
        <v>61</v>
      </c>
      <c r="E95" s="18">
        <f t="shared" si="2"/>
        <v>94</v>
      </c>
      <c r="F95" s="20" t="b">
        <v>1</v>
      </c>
      <c r="G95" s="18" t="str">
        <f>IF(Tabela2[[#This Row],[Augin?]]=TRUE,"LIBERADO PARA OBRA","PENDENTE")</f>
        <v>LIBERADO PARA OBRA</v>
      </c>
      <c r="H95" s="21">
        <v>46058</v>
      </c>
      <c r="I95" s="22" t="s">
        <v>17</v>
      </c>
      <c r="J95" s="21" t="str">
        <f>IF(Tabela2[[#This Row],[Faltou Disciplina?]]="Não","-","")</f>
        <v>-</v>
      </c>
      <c r="K95" s="21" t="str">
        <f>IF(Tabela2[[#This Row],[Faltou Disciplina?]]="Não","-","")</f>
        <v>-</v>
      </c>
      <c r="L95" s="21" t="str">
        <f>IF(Tabela2[[#This Row],[Faltou Disciplina?]]="Não","-","")</f>
        <v>-</v>
      </c>
      <c r="M95" s="21" t="str">
        <f>IF(Tabela2[[#This Row],[Faltou Disciplina?]]="Não","-","")</f>
        <v>-</v>
      </c>
      <c r="N95" s="18" t="str" cm="1">
        <f t="array" ref="N95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96" spans="1:14" x14ac:dyDescent="0.25">
      <c r="A96" s="18" t="s">
        <v>13</v>
      </c>
      <c r="B96" s="18" t="s">
        <v>18</v>
      </c>
      <c r="C96" s="18" t="s">
        <v>15</v>
      </c>
      <c r="D96" s="19" t="s">
        <v>72</v>
      </c>
      <c r="E96" s="18">
        <f t="shared" si="2"/>
        <v>95</v>
      </c>
      <c r="F96" s="20" t="b">
        <v>1</v>
      </c>
      <c r="G96" s="18" t="str">
        <f>IF(Tabela2[[#This Row],[Augin?]]=TRUE,"LIBERADO PARA OBRA","PENDENTE")</f>
        <v>LIBERADO PARA OBRA</v>
      </c>
      <c r="H96" s="21"/>
      <c r="I96" s="22"/>
      <c r="J96" s="21" t="str">
        <f>IF(Tabela2[[#This Row],[Faltou Disciplina?]]="Não","-","")</f>
        <v/>
      </c>
      <c r="K96" s="21" t="str">
        <f>IF(Tabela2[[#This Row],[Faltou Disciplina?]]="Não","-","")</f>
        <v/>
      </c>
      <c r="L96" s="21" t="str">
        <f>IF(Tabela2[[#This Row],[Faltou Disciplina?]]="Não","-","")</f>
        <v/>
      </c>
      <c r="M96" s="21" t="str">
        <f>IF(Tabela2[[#This Row],[Faltou Disciplina?]]="Não","-","")</f>
        <v/>
      </c>
      <c r="N96" s="18" t="str" cm="1">
        <f t="array" ref="N9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97" spans="1:14" x14ac:dyDescent="0.25">
      <c r="A97" s="18" t="s">
        <v>13</v>
      </c>
      <c r="B97" s="18" t="s">
        <v>18</v>
      </c>
      <c r="C97" s="18" t="s">
        <v>15</v>
      </c>
      <c r="D97" s="19" t="s">
        <v>70</v>
      </c>
      <c r="E97" s="18">
        <f t="shared" si="2"/>
        <v>96</v>
      </c>
      <c r="F97" s="20" t="b">
        <v>1</v>
      </c>
      <c r="G97" s="18" t="str">
        <f>IF(Tabela2[[#This Row],[Augin?]]=TRUE,"LIBERADO PARA OBRA","PENDENTE")</f>
        <v>LIBERADO PARA OBRA</v>
      </c>
      <c r="H97" s="21">
        <v>45993</v>
      </c>
      <c r="I97" s="22" t="s">
        <v>17</v>
      </c>
      <c r="J97" s="21" t="str">
        <f>IF(Tabela2[[#This Row],[Faltou Disciplina?]]="Não","-","")</f>
        <v>-</v>
      </c>
      <c r="K97" s="21" t="str">
        <f>IF(Tabela2[[#This Row],[Faltou Disciplina?]]="Não","-","")</f>
        <v>-</v>
      </c>
      <c r="L97" s="21" t="str">
        <f>IF(Tabela2[[#This Row],[Faltou Disciplina?]]="Não","-","")</f>
        <v>-</v>
      </c>
      <c r="M97" s="21" t="str">
        <f>IF(Tabela2[[#This Row],[Faltou Disciplina?]]="Não","-","")</f>
        <v>-</v>
      </c>
      <c r="N97" s="18" t="str" cm="1">
        <f t="array" ref="N97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98" spans="1:14" x14ac:dyDescent="0.25">
      <c r="A98" s="18" t="s">
        <v>13</v>
      </c>
      <c r="B98" s="18" t="s">
        <v>18</v>
      </c>
      <c r="C98" s="18" t="s">
        <v>15</v>
      </c>
      <c r="D98" s="19" t="s">
        <v>73</v>
      </c>
      <c r="E98" s="18">
        <f t="shared" ref="E98:E161" si="3">E97+1</f>
        <v>97</v>
      </c>
      <c r="F98" s="20" t="b">
        <v>1</v>
      </c>
      <c r="G98" s="18" t="str">
        <f>IF(Tabela2[[#This Row],[Augin?]]=TRUE,"LIBERADO PARA OBRA","PENDENTE")</f>
        <v>LIBERADO PARA OBRA</v>
      </c>
      <c r="H98" s="21">
        <v>45993</v>
      </c>
      <c r="I98" s="22" t="s">
        <v>20</v>
      </c>
      <c r="J98" s="18" t="s">
        <v>74</v>
      </c>
      <c r="K98" s="21" t="str">
        <f>IF(Tabela2[[#This Row],[Faltou Disciplina?]]="Não","-","")</f>
        <v/>
      </c>
      <c r="L98" s="21" t="str">
        <f>IF(Tabela2[[#This Row],[Faltou Disciplina?]]="Não","-","")</f>
        <v/>
      </c>
      <c r="M98" s="21" t="str">
        <f>IF(Tabela2[[#This Row],[Faltou Disciplina?]]="Não","-","")</f>
        <v/>
      </c>
      <c r="N98" s="18" t="str" cm="1">
        <f t="array" ref="N98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99" spans="1:14" x14ac:dyDescent="0.25">
      <c r="A99" s="18" t="s">
        <v>13</v>
      </c>
      <c r="B99" s="18" t="s">
        <v>18</v>
      </c>
      <c r="C99" s="18" t="s">
        <v>15</v>
      </c>
      <c r="D99" s="19" t="s">
        <v>69</v>
      </c>
      <c r="E99" s="18">
        <f t="shared" si="3"/>
        <v>98</v>
      </c>
      <c r="F99" s="20" t="b">
        <v>1</v>
      </c>
      <c r="G99" s="18" t="str">
        <f>IF(Tabela2[[#This Row],[Augin?]]=TRUE,"LIBERADO PARA OBRA","PENDENTE")</f>
        <v>LIBERADO PARA OBRA</v>
      </c>
      <c r="H99" s="21"/>
      <c r="I99" s="22"/>
      <c r="J99" s="21" t="str">
        <f>IF(Tabela2[[#This Row],[Faltou Disciplina?]]="Não","-","")</f>
        <v/>
      </c>
      <c r="K99" s="21" t="str">
        <f>IF(Tabela2[[#This Row],[Faltou Disciplina?]]="Não","-","")</f>
        <v/>
      </c>
      <c r="L99" s="21" t="str">
        <f>IF(Tabela2[[#This Row],[Faltou Disciplina?]]="Não","-","")</f>
        <v/>
      </c>
      <c r="M99" s="21" t="str">
        <f>IF(Tabela2[[#This Row],[Faltou Disciplina?]]="Não","-","")</f>
        <v/>
      </c>
      <c r="N99" s="18" t="str" cm="1">
        <f t="array" ref="N9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00" spans="1:14" x14ac:dyDescent="0.25">
      <c r="A100" s="18" t="s">
        <v>13</v>
      </c>
      <c r="B100" s="18" t="s">
        <v>18</v>
      </c>
      <c r="C100" s="18" t="s">
        <v>15</v>
      </c>
      <c r="D100" s="19" t="s">
        <v>63</v>
      </c>
      <c r="E100" s="18">
        <f t="shared" si="3"/>
        <v>99</v>
      </c>
      <c r="F100" s="20" t="b">
        <v>1</v>
      </c>
      <c r="G100" s="18" t="str">
        <f>IF(Tabela2[[#This Row],[Augin?]]=TRUE,"LIBERADO PARA OBRA","PENDENTE")</f>
        <v>LIBERADO PARA OBRA</v>
      </c>
      <c r="H100" s="21">
        <v>45931</v>
      </c>
      <c r="I100" s="22" t="s">
        <v>20</v>
      </c>
      <c r="J100" s="21" t="s">
        <v>334</v>
      </c>
      <c r="K100" s="19" t="s">
        <v>44</v>
      </c>
      <c r="L100" s="21" t="str">
        <f>IF(Tabela2[[#This Row],[Faltou Disciplina?]]="Não","-","")</f>
        <v/>
      </c>
      <c r="M100" s="21" t="str">
        <f>IF(Tabela2[[#This Row],[Faltou Disciplina?]]="Não","-","")</f>
        <v/>
      </c>
      <c r="N100" s="18" t="str" cm="1">
        <f t="array" ref="N100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01" spans="1:14" x14ac:dyDescent="0.25">
      <c r="A101" s="18" t="s">
        <v>13</v>
      </c>
      <c r="B101" s="18" t="s">
        <v>18</v>
      </c>
      <c r="C101" s="18" t="s">
        <v>15</v>
      </c>
      <c r="D101" s="23" t="s">
        <v>52</v>
      </c>
      <c r="E101" s="18">
        <f t="shared" si="3"/>
        <v>100</v>
      </c>
      <c r="F101" s="20" t="b">
        <v>1</v>
      </c>
      <c r="G101" s="18" t="str">
        <f>IF(Tabela2[[#This Row],[Augin?]]=TRUE,"LIBERADO PARA OBRA","PENDENTE")</f>
        <v>LIBERADO PARA OBRA</v>
      </c>
      <c r="H101" s="21">
        <v>45931</v>
      </c>
      <c r="I101" s="22" t="s">
        <v>20</v>
      </c>
      <c r="J101" s="21" t="s">
        <v>334</v>
      </c>
      <c r="K101" s="19" t="s">
        <v>44</v>
      </c>
      <c r="L101" s="21" t="str">
        <f>IF(Tabela2[[#This Row],[Faltou Disciplina?]]="Não","-","")</f>
        <v/>
      </c>
      <c r="M101" s="21" t="str">
        <f>IF(Tabela2[[#This Row],[Faltou Disciplina?]]="Não","-","")</f>
        <v/>
      </c>
      <c r="N101" s="18" t="str" cm="1">
        <f t="array" ref="N101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02" spans="1:14" x14ac:dyDescent="0.25">
      <c r="A102" s="18" t="s">
        <v>13</v>
      </c>
      <c r="B102" s="18" t="s">
        <v>18</v>
      </c>
      <c r="C102" s="18" t="s">
        <v>15</v>
      </c>
      <c r="D102" s="23" t="s">
        <v>62</v>
      </c>
      <c r="E102" s="18">
        <f t="shared" si="3"/>
        <v>101</v>
      </c>
      <c r="F102" s="20" t="b">
        <v>1</v>
      </c>
      <c r="G102" s="18" t="str">
        <f>IF(Tabela2[[#This Row],[Augin?]]=TRUE,"LIBERADO PARA OBRA","PENDENTE")</f>
        <v>LIBERADO PARA OBRA</v>
      </c>
      <c r="H102" s="21">
        <v>45931</v>
      </c>
      <c r="I102" s="22" t="s">
        <v>20</v>
      </c>
      <c r="J102" s="21" t="s">
        <v>334</v>
      </c>
      <c r="K102" s="19" t="s">
        <v>44</v>
      </c>
      <c r="L102" s="21" t="str">
        <f>IF(Tabela2[[#This Row],[Faltou Disciplina?]]="Não","-","")</f>
        <v/>
      </c>
      <c r="M102" s="21" t="str">
        <f>IF(Tabela2[[#This Row],[Faltou Disciplina?]]="Não","-","")</f>
        <v/>
      </c>
      <c r="N102" s="18" t="str" cm="1">
        <f t="array" ref="N102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03" spans="1:14" x14ac:dyDescent="0.25">
      <c r="A103" s="18" t="s">
        <v>13</v>
      </c>
      <c r="B103" s="18" t="s">
        <v>18</v>
      </c>
      <c r="C103" s="18" t="s">
        <v>15</v>
      </c>
      <c r="D103" s="23" t="s">
        <v>48</v>
      </c>
      <c r="E103" s="18">
        <f t="shared" si="3"/>
        <v>102</v>
      </c>
      <c r="F103" s="20" t="b">
        <v>1</v>
      </c>
      <c r="G103" s="18" t="str">
        <f>IF(Tabela2[[#This Row],[Augin?]]=TRUE,"LIBERADO PARA OBRA","PENDENTE")</f>
        <v>LIBERADO PARA OBRA</v>
      </c>
      <c r="H103" s="21">
        <v>45931</v>
      </c>
      <c r="I103" s="22" t="s">
        <v>20</v>
      </c>
      <c r="J103" s="21" t="s">
        <v>334</v>
      </c>
      <c r="K103" s="19" t="s">
        <v>44</v>
      </c>
      <c r="L103" s="21" t="str">
        <f>IF(Tabela2[[#This Row],[Faltou Disciplina?]]="Não","-","")</f>
        <v/>
      </c>
      <c r="M103" s="21" t="str">
        <f>IF(Tabela2[[#This Row],[Faltou Disciplina?]]="Não","-","")</f>
        <v/>
      </c>
      <c r="N103" s="18" t="str" cm="1">
        <f t="array" ref="N103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04" spans="1:14" x14ac:dyDescent="0.25">
      <c r="A104" s="18" t="s">
        <v>13</v>
      </c>
      <c r="B104" s="18" t="s">
        <v>18</v>
      </c>
      <c r="C104" s="18" t="s">
        <v>15</v>
      </c>
      <c r="D104" s="19" t="s">
        <v>47</v>
      </c>
      <c r="E104" s="18">
        <f t="shared" si="3"/>
        <v>103</v>
      </c>
      <c r="F104" s="20" t="b">
        <v>1</v>
      </c>
      <c r="G104" s="18" t="str">
        <f>IF(Tabela2[[#This Row],[Augin?]]=TRUE,"LIBERADO PARA OBRA","PENDENTE")</f>
        <v>LIBERADO PARA OBRA</v>
      </c>
      <c r="H104" s="21">
        <v>45931</v>
      </c>
      <c r="I104" s="22" t="s">
        <v>20</v>
      </c>
      <c r="J104" s="21" t="s">
        <v>334</v>
      </c>
      <c r="K104" s="19" t="s">
        <v>44</v>
      </c>
      <c r="L104" s="21" t="str">
        <f>IF(Tabela2[[#This Row],[Faltou Disciplina?]]="Não","-","")</f>
        <v/>
      </c>
      <c r="M104" s="21" t="str">
        <f>IF(Tabela2[[#This Row],[Faltou Disciplina?]]="Não","-","")</f>
        <v/>
      </c>
      <c r="N104" s="18" t="str" cm="1">
        <f t="array" ref="N104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05" spans="1:14" x14ac:dyDescent="0.25">
      <c r="A105" s="18" t="s">
        <v>13</v>
      </c>
      <c r="B105" s="18" t="s">
        <v>18</v>
      </c>
      <c r="C105" s="18" t="s">
        <v>15</v>
      </c>
      <c r="D105" s="19" t="s">
        <v>55</v>
      </c>
      <c r="E105" s="18">
        <f t="shared" si="3"/>
        <v>104</v>
      </c>
      <c r="F105" s="20" t="b">
        <v>1</v>
      </c>
      <c r="G105" s="18" t="str">
        <f>IF(Tabela2[[#This Row],[Augin?]]=TRUE,"LIBERADO PARA OBRA","PENDENTE")</f>
        <v>LIBERADO PARA OBRA</v>
      </c>
      <c r="H105" s="21">
        <v>45931</v>
      </c>
      <c r="I105" s="22" t="s">
        <v>20</v>
      </c>
      <c r="J105" s="21" t="s">
        <v>334</v>
      </c>
      <c r="K105" s="19" t="s">
        <v>44</v>
      </c>
      <c r="L105" s="21" t="str">
        <f>IF(Tabela2[[#This Row],[Faltou Disciplina?]]="Não","-","")</f>
        <v/>
      </c>
      <c r="M105" s="21" t="str">
        <f>IF(Tabela2[[#This Row],[Faltou Disciplina?]]="Não","-","")</f>
        <v/>
      </c>
      <c r="N105" s="18" t="str" cm="1">
        <f t="array" ref="N105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06" spans="1:14" x14ac:dyDescent="0.25">
      <c r="A106" s="18" t="s">
        <v>13</v>
      </c>
      <c r="B106" s="18" t="s">
        <v>18</v>
      </c>
      <c r="C106" s="18" t="s">
        <v>15</v>
      </c>
      <c r="D106" s="19" t="s">
        <v>32</v>
      </c>
      <c r="E106" s="18">
        <f t="shared" si="3"/>
        <v>105</v>
      </c>
      <c r="F106" s="20" t="b">
        <v>1</v>
      </c>
      <c r="G106" s="18" t="str">
        <f>IF(Tabela2[[#This Row],[Augin?]]=TRUE,"LIBERADO PARA OBRA","PENDENTE")</f>
        <v>LIBERADO PARA OBRA</v>
      </c>
      <c r="H106" s="21">
        <v>45931</v>
      </c>
      <c r="I106" s="22" t="s">
        <v>20</v>
      </c>
      <c r="J106" s="21" t="s">
        <v>334</v>
      </c>
      <c r="K106" s="19" t="s">
        <v>44</v>
      </c>
      <c r="L106" s="21" t="str">
        <f>IF(Tabela2[[#This Row],[Faltou Disciplina?]]="Não","-","")</f>
        <v/>
      </c>
      <c r="M106" s="21" t="str">
        <f>IF(Tabela2[[#This Row],[Faltou Disciplina?]]="Não","-","")</f>
        <v/>
      </c>
      <c r="N106" s="18" t="str" cm="1">
        <f t="array" ref="N106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07" spans="1:14" x14ac:dyDescent="0.25">
      <c r="A107" s="18" t="s">
        <v>13</v>
      </c>
      <c r="B107" s="18" t="s">
        <v>18</v>
      </c>
      <c r="C107" s="18" t="s">
        <v>15</v>
      </c>
      <c r="D107" s="19" t="s">
        <v>337</v>
      </c>
      <c r="E107" s="18">
        <f t="shared" si="3"/>
        <v>106</v>
      </c>
      <c r="F107" s="20" t="b">
        <v>1</v>
      </c>
      <c r="G107" s="18" t="str">
        <f>IF(Tabela2[[#This Row],[Augin?]]=TRUE,"LIBERADO PARA OBRA","PENDENTE")</f>
        <v>LIBERADO PARA OBRA</v>
      </c>
      <c r="H107" s="21">
        <v>45931</v>
      </c>
      <c r="I107" s="22" t="s">
        <v>20</v>
      </c>
      <c r="J107" s="21" t="s">
        <v>334</v>
      </c>
      <c r="K107" s="19" t="s">
        <v>44</v>
      </c>
      <c r="L107" s="21" t="str">
        <f>IF(Tabela2[[#This Row],[Faltou Disciplina?]]="Não","-","")</f>
        <v/>
      </c>
      <c r="M107" s="21" t="str">
        <f>IF(Tabela2[[#This Row],[Faltou Disciplina?]]="Não","-","")</f>
        <v/>
      </c>
      <c r="N107" s="18" t="str" cm="1">
        <f t="array" ref="N107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08" spans="1:14" x14ac:dyDescent="0.25">
      <c r="A108" s="18" t="s">
        <v>13</v>
      </c>
      <c r="B108" s="18" t="s">
        <v>18</v>
      </c>
      <c r="C108" s="18" t="s">
        <v>15</v>
      </c>
      <c r="D108" s="19" t="s">
        <v>50</v>
      </c>
      <c r="E108" s="18">
        <f t="shared" si="3"/>
        <v>107</v>
      </c>
      <c r="F108" s="20" t="b">
        <v>1</v>
      </c>
      <c r="G108" s="18" t="str">
        <f>IF(Tabela2[[#This Row],[Augin?]]=TRUE,"LIBERADO PARA OBRA","PENDENTE")</f>
        <v>LIBERADO PARA OBRA</v>
      </c>
      <c r="H108" s="21">
        <v>45982</v>
      </c>
      <c r="I108" s="22" t="s">
        <v>20</v>
      </c>
      <c r="J108" s="18" t="s">
        <v>51</v>
      </c>
      <c r="K108" s="21" t="str">
        <f>IF(Tabela2[[#This Row],[Faltou Disciplina?]]="Não","-","")</f>
        <v/>
      </c>
      <c r="L108" s="21" t="str">
        <f>IF(Tabela2[[#This Row],[Faltou Disciplina?]]="Não","-","")</f>
        <v/>
      </c>
      <c r="M108" s="21" t="str">
        <f>IF(Tabela2[[#This Row],[Faltou Disciplina?]]="Não","-","")</f>
        <v/>
      </c>
      <c r="N108" s="18" t="str" cm="1">
        <f t="array" ref="N108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09" spans="1:14" x14ac:dyDescent="0.25">
      <c r="A109" s="18" t="s">
        <v>13</v>
      </c>
      <c r="B109" s="18" t="s">
        <v>18</v>
      </c>
      <c r="C109" s="18" t="s">
        <v>15</v>
      </c>
      <c r="D109" s="19" t="s">
        <v>34</v>
      </c>
      <c r="E109" s="18">
        <f t="shared" si="3"/>
        <v>108</v>
      </c>
      <c r="F109" s="20" t="b">
        <v>1</v>
      </c>
      <c r="G109" s="18" t="str">
        <f>IF(Tabela2[[#This Row],[Augin?]]=TRUE,"LIBERADO PARA OBRA","PENDENTE")</f>
        <v>LIBERADO PARA OBRA</v>
      </c>
      <c r="H109" s="21">
        <v>46028</v>
      </c>
      <c r="I109" s="22" t="s">
        <v>20</v>
      </c>
      <c r="J109" s="21" t="s">
        <v>312</v>
      </c>
      <c r="K109" s="21" t="s">
        <v>313</v>
      </c>
      <c r="L109" s="21" t="str">
        <f>IF(Tabela2[[#This Row],[Faltou Disciplina?]]="Não","-","")</f>
        <v/>
      </c>
      <c r="M109" s="21" t="str">
        <f>IF(Tabela2[[#This Row],[Faltou Disciplina?]]="Não","-","")</f>
        <v/>
      </c>
      <c r="N109" s="18" t="str" cm="1">
        <f t="array" ref="N109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10" spans="1:14" x14ac:dyDescent="0.25">
      <c r="A110" s="18" t="s">
        <v>13</v>
      </c>
      <c r="B110" s="18" t="s">
        <v>18</v>
      </c>
      <c r="C110" s="18" t="s">
        <v>15</v>
      </c>
      <c r="D110" s="19" t="s">
        <v>75</v>
      </c>
      <c r="E110" s="18">
        <f t="shared" si="3"/>
        <v>109</v>
      </c>
      <c r="F110" s="20" t="b">
        <v>1</v>
      </c>
      <c r="G110" s="18" t="str">
        <f>IF(Tabela2[[#This Row],[Augin?]]=TRUE,"LIBERADO PARA OBRA","PENDENTE")</f>
        <v>LIBERADO PARA OBRA</v>
      </c>
      <c r="H110" s="21">
        <v>46028</v>
      </c>
      <c r="I110" s="22" t="s">
        <v>20</v>
      </c>
      <c r="J110" s="21" t="s">
        <v>249</v>
      </c>
      <c r="K110" s="21" t="s">
        <v>329</v>
      </c>
      <c r="L110" s="21" t="str">
        <f>IF(Tabela2[[#This Row],[Faltou Disciplina?]]="Não","-","")</f>
        <v/>
      </c>
      <c r="M110" s="21" t="str">
        <f>IF(Tabela2[[#This Row],[Faltou Disciplina?]]="Não","-","")</f>
        <v/>
      </c>
      <c r="N110" s="18" t="str" cm="1">
        <f t="array" ref="N110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11" spans="1:14" x14ac:dyDescent="0.25">
      <c r="A111" s="18" t="s">
        <v>13</v>
      </c>
      <c r="B111" s="18" t="s">
        <v>18</v>
      </c>
      <c r="C111" s="18" t="s">
        <v>15</v>
      </c>
      <c r="D111" s="24" t="s">
        <v>49</v>
      </c>
      <c r="E111" s="18">
        <f t="shared" si="3"/>
        <v>110</v>
      </c>
      <c r="F111" s="20" t="b">
        <v>1</v>
      </c>
      <c r="G111" s="18" t="str">
        <f>IF(Tabela2[[#This Row],[Augin?]]=TRUE,"LIBERADO PARA OBRA","PENDENTE")</f>
        <v>LIBERADO PARA OBRA</v>
      </c>
      <c r="H111" s="21"/>
      <c r="I111" s="22"/>
      <c r="J111" s="21" t="str">
        <f>IF(Tabela2[[#This Row],[Faltou Disciplina?]]="Não","-","")</f>
        <v/>
      </c>
      <c r="K111" s="21" t="str">
        <f>IF(Tabela2[[#This Row],[Faltou Disciplina?]]="Não","-","")</f>
        <v/>
      </c>
      <c r="L111" s="21" t="str">
        <f>IF(Tabela2[[#This Row],[Faltou Disciplina?]]="Não","-","")</f>
        <v/>
      </c>
      <c r="M111" s="21" t="str">
        <f>IF(Tabela2[[#This Row],[Faltou Disciplina?]]="Não","-","")</f>
        <v/>
      </c>
      <c r="N111" s="18" t="str" cm="1">
        <f t="array" ref="N11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12" spans="1:14" x14ac:dyDescent="0.25">
      <c r="A112" s="18" t="s">
        <v>13</v>
      </c>
      <c r="B112" s="18" t="s">
        <v>18</v>
      </c>
      <c r="C112" s="18" t="s">
        <v>15</v>
      </c>
      <c r="D112" s="19" t="s">
        <v>76</v>
      </c>
      <c r="E112" s="18">
        <f t="shared" si="3"/>
        <v>111</v>
      </c>
      <c r="F112" s="20" t="b">
        <v>1</v>
      </c>
      <c r="G112" s="18" t="str">
        <f>IF(Tabela2[[#This Row],[Augin?]]=TRUE,"LIBERADO PARA OBRA","PENDENTE")</f>
        <v>LIBERADO PARA OBRA</v>
      </c>
      <c r="H112" s="21"/>
      <c r="I112" s="22"/>
      <c r="J112" s="21" t="str">
        <f>IF(Tabela2[[#This Row],[Faltou Disciplina?]]="Não","-","")</f>
        <v/>
      </c>
      <c r="K112" s="21" t="str">
        <f>IF(Tabela2[[#This Row],[Faltou Disciplina?]]="Não","-","")</f>
        <v/>
      </c>
      <c r="L112" s="21" t="str">
        <f>IF(Tabela2[[#This Row],[Faltou Disciplina?]]="Não","-","")</f>
        <v/>
      </c>
      <c r="M112" s="21" t="str">
        <f>IF(Tabela2[[#This Row],[Faltou Disciplina?]]="Não","-","")</f>
        <v/>
      </c>
      <c r="N112" s="18" t="str" cm="1">
        <f t="array" ref="N11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13" spans="1:14" x14ac:dyDescent="0.25">
      <c r="A113" s="18" t="s">
        <v>13</v>
      </c>
      <c r="B113" s="18" t="s">
        <v>18</v>
      </c>
      <c r="C113" s="18" t="s">
        <v>15</v>
      </c>
      <c r="D113" s="19" t="s">
        <v>92</v>
      </c>
      <c r="E113" s="18">
        <f t="shared" si="3"/>
        <v>112</v>
      </c>
      <c r="F113" s="20" t="b">
        <v>1</v>
      </c>
      <c r="G113" s="18" t="str">
        <f>IF(Tabela2[[#This Row],[Augin?]]=TRUE,"LIBERADO PARA OBRA","PENDENTE")</f>
        <v>LIBERADO PARA OBRA</v>
      </c>
      <c r="H113" s="21"/>
      <c r="I113" s="22"/>
      <c r="J113" s="21" t="str">
        <f>IF(Tabela2[[#This Row],[Faltou Disciplina?]]="Não","-","")</f>
        <v/>
      </c>
      <c r="K113" s="21" t="str">
        <f>IF(Tabela2[[#This Row],[Faltou Disciplina?]]="Não","-","")</f>
        <v/>
      </c>
      <c r="L113" s="21" t="str">
        <f>IF(Tabela2[[#This Row],[Faltou Disciplina?]]="Não","-","")</f>
        <v/>
      </c>
      <c r="M113" s="21" t="str">
        <f>IF(Tabela2[[#This Row],[Faltou Disciplina?]]="Não","-","")</f>
        <v/>
      </c>
      <c r="N113" s="18" t="str" cm="1">
        <f t="array" ref="N11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14" spans="1:14" x14ac:dyDescent="0.25">
      <c r="A114" s="18" t="s">
        <v>13</v>
      </c>
      <c r="B114" s="18" t="s">
        <v>18</v>
      </c>
      <c r="C114" s="18" t="s">
        <v>79</v>
      </c>
      <c r="D114" s="19" t="s">
        <v>77</v>
      </c>
      <c r="E114" s="18">
        <f t="shared" si="3"/>
        <v>113</v>
      </c>
      <c r="F114" s="20" t="b">
        <v>1</v>
      </c>
      <c r="G114" s="18" t="str">
        <f>IF(Tabela2[[#This Row],[Augin?]]=TRUE,"LIBERADO PARA OBRA","PENDENTE")</f>
        <v>LIBERADO PARA OBRA</v>
      </c>
      <c r="H114" s="21"/>
      <c r="I114" s="22"/>
      <c r="J114" s="21" t="str">
        <f>IF(Tabela2[[#This Row],[Faltou Disciplina?]]="Não","-","")</f>
        <v/>
      </c>
      <c r="K114" s="21" t="str">
        <f>IF(Tabela2[[#This Row],[Faltou Disciplina?]]="Não","-","")</f>
        <v/>
      </c>
      <c r="L114" s="21" t="str">
        <f>IF(Tabela2[[#This Row],[Faltou Disciplina?]]="Não","-","")</f>
        <v/>
      </c>
      <c r="M114" s="21" t="str">
        <f>IF(Tabela2[[#This Row],[Faltou Disciplina?]]="Não","-","")</f>
        <v/>
      </c>
      <c r="N114" s="18" t="str" cm="1">
        <f t="array" ref="N11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15" spans="1:14" x14ac:dyDescent="0.25">
      <c r="A115" s="18" t="s">
        <v>13</v>
      </c>
      <c r="B115" s="18" t="s">
        <v>18</v>
      </c>
      <c r="C115" s="18" t="s">
        <v>79</v>
      </c>
      <c r="D115" s="24" t="s">
        <v>78</v>
      </c>
      <c r="E115" s="18">
        <f t="shared" si="3"/>
        <v>114</v>
      </c>
      <c r="F115" s="20" t="b">
        <v>1</v>
      </c>
      <c r="G115" s="18" t="str">
        <f>IF(Tabela2[[#This Row],[Augin?]]=TRUE,"LIBERADO PARA OBRA","PENDENTE")</f>
        <v>LIBERADO PARA OBRA</v>
      </c>
      <c r="H115" s="21"/>
      <c r="I115" s="22"/>
      <c r="J115" s="21" t="str">
        <f>IF(Tabela2[[#This Row],[Faltou Disciplina?]]="Não","-","")</f>
        <v/>
      </c>
      <c r="K115" s="21" t="str">
        <f>IF(Tabela2[[#This Row],[Faltou Disciplina?]]="Não","-","")</f>
        <v/>
      </c>
      <c r="L115" s="21" t="str">
        <f>IF(Tabela2[[#This Row],[Faltou Disciplina?]]="Não","-","")</f>
        <v/>
      </c>
      <c r="M115" s="21" t="str">
        <f>IF(Tabela2[[#This Row],[Faltou Disciplina?]]="Não","-","")</f>
        <v/>
      </c>
      <c r="N115" s="18" t="str" cm="1">
        <f t="array" ref="N11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16" spans="1:14" x14ac:dyDescent="0.25">
      <c r="A116" s="18" t="s">
        <v>13</v>
      </c>
      <c r="B116" s="18" t="s">
        <v>18</v>
      </c>
      <c r="C116" s="18" t="s">
        <v>79</v>
      </c>
      <c r="D116" s="19" t="s">
        <v>80</v>
      </c>
      <c r="E116" s="18">
        <f t="shared" si="3"/>
        <v>115</v>
      </c>
      <c r="F116" s="20" t="b">
        <v>1</v>
      </c>
      <c r="G116" s="18" t="str">
        <f>IF(Tabela2[[#This Row],[Augin?]]=TRUE,"LIBERADO PARA OBRA","PENDENTE")</f>
        <v>LIBERADO PARA OBRA</v>
      </c>
      <c r="H116" s="21">
        <v>46058</v>
      </c>
      <c r="I116" s="22" t="s">
        <v>17</v>
      </c>
      <c r="J116" s="21" t="str">
        <f>IF(Tabela2[[#This Row],[Faltou Disciplina?]]="Não","-","")</f>
        <v>-</v>
      </c>
      <c r="K116" s="21" t="str">
        <f>IF(Tabela2[[#This Row],[Faltou Disciplina?]]="Não","-","")</f>
        <v>-</v>
      </c>
      <c r="L116" s="21" t="str">
        <f>IF(Tabela2[[#This Row],[Faltou Disciplina?]]="Não","-","")</f>
        <v>-</v>
      </c>
      <c r="M116" s="21" t="str">
        <f>IF(Tabela2[[#This Row],[Faltou Disciplina?]]="Não","-","")</f>
        <v>-</v>
      </c>
      <c r="N116" s="18" t="str" cm="1">
        <f t="array" ref="N116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117" spans="1:14" x14ac:dyDescent="0.25">
      <c r="A117" s="18" t="s">
        <v>13</v>
      </c>
      <c r="B117" s="18" t="s">
        <v>18</v>
      </c>
      <c r="C117" s="18" t="s">
        <v>79</v>
      </c>
      <c r="D117" s="19" t="s">
        <v>81</v>
      </c>
      <c r="E117" s="18">
        <f t="shared" si="3"/>
        <v>116</v>
      </c>
      <c r="F117" s="20" t="b">
        <v>1</v>
      </c>
      <c r="G117" s="18" t="str">
        <f>IF(Tabela2[[#This Row],[Augin?]]=TRUE,"LIBERADO PARA OBRA","PENDENTE")</f>
        <v>LIBERADO PARA OBRA</v>
      </c>
      <c r="H117" s="21">
        <v>46058</v>
      </c>
      <c r="I117" s="22" t="s">
        <v>17</v>
      </c>
      <c r="J117" s="21" t="str">
        <f>IF(Tabela2[[#This Row],[Faltou Disciplina?]]="Não","-","")</f>
        <v>-</v>
      </c>
      <c r="K117" s="21" t="str">
        <f>IF(Tabela2[[#This Row],[Faltou Disciplina?]]="Não","-","")</f>
        <v>-</v>
      </c>
      <c r="L117" s="21" t="str">
        <f>IF(Tabela2[[#This Row],[Faltou Disciplina?]]="Não","-","")</f>
        <v>-</v>
      </c>
      <c r="M117" s="21" t="str">
        <f>IF(Tabela2[[#This Row],[Faltou Disciplina?]]="Não","-","")</f>
        <v>-</v>
      </c>
      <c r="N117" s="18" t="str" cm="1">
        <f t="array" ref="N117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118" spans="1:14" x14ac:dyDescent="0.25">
      <c r="A118" s="18" t="s">
        <v>13</v>
      </c>
      <c r="B118" s="18" t="s">
        <v>18</v>
      </c>
      <c r="C118" s="18" t="s">
        <v>79</v>
      </c>
      <c r="D118" s="19" t="s">
        <v>82</v>
      </c>
      <c r="E118" s="18">
        <f t="shared" si="3"/>
        <v>117</v>
      </c>
      <c r="F118" s="20" t="b">
        <v>1</v>
      </c>
      <c r="G118" s="18" t="str">
        <f>IF(Tabela2[[#This Row],[Augin?]]=TRUE,"LIBERADO PARA OBRA","PENDENTE")</f>
        <v>LIBERADO PARA OBRA</v>
      </c>
      <c r="H118" s="21">
        <v>46058</v>
      </c>
      <c r="I118" s="22" t="s">
        <v>17</v>
      </c>
      <c r="J118" s="21" t="str">
        <f>IF(Tabela2[[#This Row],[Faltou Disciplina?]]="Não","-","")</f>
        <v>-</v>
      </c>
      <c r="K118" s="21" t="str">
        <f>IF(Tabela2[[#This Row],[Faltou Disciplina?]]="Não","-","")</f>
        <v>-</v>
      </c>
      <c r="L118" s="21" t="str">
        <f>IF(Tabela2[[#This Row],[Faltou Disciplina?]]="Não","-","")</f>
        <v>-</v>
      </c>
      <c r="M118" s="21" t="str">
        <f>IF(Tabela2[[#This Row],[Faltou Disciplina?]]="Não","-","")</f>
        <v>-</v>
      </c>
      <c r="N118" s="18" t="str" cm="1">
        <f t="array" ref="N118">_xlfn.IFS(Tabela2[[#This Row],[Faltou Disciplina?]]="Sim","Revisar",Tabela2[[#This Row],[Faltou Disciplina?]]="Não","Verificada",Tabela2[[#This Row],[Faltou Disciplina?]]="","Pendente",Tabela2[[#This Row],[statusRA]]="PENDENTE","Pendente")</f>
        <v>Verificada</v>
      </c>
    </row>
    <row r="119" spans="1:14" x14ac:dyDescent="0.25">
      <c r="A119" s="18" t="s">
        <v>13</v>
      </c>
      <c r="B119" s="18" t="s">
        <v>18</v>
      </c>
      <c r="C119" s="18" t="s">
        <v>79</v>
      </c>
      <c r="D119" s="19" t="s">
        <v>83</v>
      </c>
      <c r="E119" s="18">
        <f t="shared" si="3"/>
        <v>118</v>
      </c>
      <c r="F119" s="20" t="b">
        <v>1</v>
      </c>
      <c r="G119" s="18" t="str">
        <f>IF(Tabela2[[#This Row],[Augin?]]=TRUE,"LIBERADO PARA OBRA","PENDENTE")</f>
        <v>LIBERADO PARA OBRA</v>
      </c>
      <c r="H119" s="21"/>
      <c r="I119" s="22"/>
      <c r="J119" s="21" t="str">
        <f>IF(Tabela2[[#This Row],[Faltou Disciplina?]]="Não","-","")</f>
        <v/>
      </c>
      <c r="K119" s="21" t="str">
        <f>IF(Tabela2[[#This Row],[Faltou Disciplina?]]="Não","-","")</f>
        <v/>
      </c>
      <c r="L119" s="21" t="str">
        <f>IF(Tabela2[[#This Row],[Faltou Disciplina?]]="Não","-","")</f>
        <v/>
      </c>
      <c r="M119" s="21" t="str">
        <f>IF(Tabela2[[#This Row],[Faltou Disciplina?]]="Não","-","")</f>
        <v/>
      </c>
      <c r="N119" s="18" t="str" cm="1">
        <f t="array" ref="N11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0" spans="1:14" x14ac:dyDescent="0.25">
      <c r="A120" s="18" t="s">
        <v>13</v>
      </c>
      <c r="B120" s="18" t="s">
        <v>18</v>
      </c>
      <c r="C120" s="18" t="s">
        <v>79</v>
      </c>
      <c r="D120" s="19" t="s">
        <v>84</v>
      </c>
      <c r="E120" s="18">
        <f t="shared" si="3"/>
        <v>119</v>
      </c>
      <c r="F120" s="20" t="b">
        <v>1</v>
      </c>
      <c r="G120" s="18" t="str">
        <f>IF(Tabela2[[#This Row],[Augin?]]=TRUE,"LIBERADO PARA OBRA","PENDENTE")</f>
        <v>LIBERADO PARA OBRA</v>
      </c>
      <c r="H120" s="21"/>
      <c r="I120" s="22"/>
      <c r="J120" s="21" t="str">
        <f>IF(Tabela2[[#This Row],[Faltou Disciplina?]]="Não","-","")</f>
        <v/>
      </c>
      <c r="K120" s="21" t="str">
        <f>IF(Tabela2[[#This Row],[Faltou Disciplina?]]="Não","-","")</f>
        <v/>
      </c>
      <c r="L120" s="21" t="str">
        <f>IF(Tabela2[[#This Row],[Faltou Disciplina?]]="Não","-","")</f>
        <v/>
      </c>
      <c r="M120" s="21" t="str">
        <f>IF(Tabela2[[#This Row],[Faltou Disciplina?]]="Não","-","")</f>
        <v/>
      </c>
      <c r="N120" s="18" t="str" cm="1">
        <f t="array" ref="N12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1" spans="1:14" x14ac:dyDescent="0.25">
      <c r="A121" s="18" t="s">
        <v>13</v>
      </c>
      <c r="B121" s="18" t="s">
        <v>18</v>
      </c>
      <c r="C121" s="18" t="s">
        <v>85</v>
      </c>
      <c r="D121" s="19" t="s">
        <v>89</v>
      </c>
      <c r="E121" s="18">
        <f t="shared" si="3"/>
        <v>120</v>
      </c>
      <c r="F121" s="20" t="b">
        <v>1</v>
      </c>
      <c r="G121" s="18" t="str">
        <f>IF(Tabela2[[#This Row],[Augin?]]=TRUE,"LIBERADO PARA OBRA","PENDENTE")</f>
        <v>LIBERADO PARA OBRA</v>
      </c>
      <c r="H121" s="21"/>
      <c r="I121" s="22"/>
      <c r="J121" s="21" t="str">
        <f>IF(Tabela2[[#This Row],[Faltou Disciplina?]]="Não","-","")</f>
        <v/>
      </c>
      <c r="K121" s="21" t="str">
        <f>IF(Tabela2[[#This Row],[Faltou Disciplina?]]="Não","-","")</f>
        <v/>
      </c>
      <c r="L121" s="21" t="str">
        <f>IF(Tabela2[[#This Row],[Faltou Disciplina?]]="Não","-","")</f>
        <v/>
      </c>
      <c r="M121" s="21" t="str">
        <f>IF(Tabela2[[#This Row],[Faltou Disciplina?]]="Não","-","")</f>
        <v/>
      </c>
      <c r="N121" s="18" t="str" cm="1">
        <f t="array" ref="N12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2" spans="1:14" x14ac:dyDescent="0.25">
      <c r="A122" s="18" t="s">
        <v>13</v>
      </c>
      <c r="B122" s="18" t="s">
        <v>18</v>
      </c>
      <c r="C122" s="18" t="s">
        <v>85</v>
      </c>
      <c r="D122" s="19" t="s">
        <v>90</v>
      </c>
      <c r="E122" s="18">
        <f t="shared" si="3"/>
        <v>121</v>
      </c>
      <c r="F122" s="20" t="b">
        <v>1</v>
      </c>
      <c r="G122" s="18" t="str">
        <f>IF(Tabela2[[#This Row],[Augin?]]=TRUE,"LIBERADO PARA OBRA","PENDENTE")</f>
        <v>LIBERADO PARA OBRA</v>
      </c>
      <c r="H122" s="21"/>
      <c r="I122" s="22"/>
      <c r="J122" s="21" t="str">
        <f>IF(Tabela2[[#This Row],[Faltou Disciplina?]]="Não","-","")</f>
        <v/>
      </c>
      <c r="K122" s="21" t="str">
        <f>IF(Tabela2[[#This Row],[Faltou Disciplina?]]="Não","-","")</f>
        <v/>
      </c>
      <c r="L122" s="21" t="str">
        <f>IF(Tabela2[[#This Row],[Faltou Disciplina?]]="Não","-","")</f>
        <v/>
      </c>
      <c r="M122" s="21" t="str">
        <f>IF(Tabela2[[#This Row],[Faltou Disciplina?]]="Não","-","")</f>
        <v/>
      </c>
      <c r="N122" s="18" t="str" cm="1">
        <f t="array" ref="N12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3" spans="1:14" x14ac:dyDescent="0.25">
      <c r="A123" s="18" t="s">
        <v>13</v>
      </c>
      <c r="B123" s="18" t="s">
        <v>18</v>
      </c>
      <c r="C123" s="18" t="s">
        <v>85</v>
      </c>
      <c r="D123" s="19" t="s">
        <v>87</v>
      </c>
      <c r="E123" s="18">
        <f t="shared" si="3"/>
        <v>122</v>
      </c>
      <c r="F123" s="20" t="b">
        <v>1</v>
      </c>
      <c r="G123" s="18" t="str">
        <f>IF(Tabela2[[#This Row],[Augin?]]=TRUE,"LIBERADO PARA OBRA","PENDENTE")</f>
        <v>LIBERADO PARA OBRA</v>
      </c>
      <c r="H123" s="21"/>
      <c r="I123" s="22"/>
      <c r="J123" s="21" t="str">
        <f>IF(Tabela2[[#This Row],[Faltou Disciplina?]]="Não","-","")</f>
        <v/>
      </c>
      <c r="K123" s="21" t="str">
        <f>IF(Tabela2[[#This Row],[Faltou Disciplina?]]="Não","-","")</f>
        <v/>
      </c>
      <c r="L123" s="21" t="str">
        <f>IF(Tabela2[[#This Row],[Faltou Disciplina?]]="Não","-","")</f>
        <v/>
      </c>
      <c r="M123" s="21" t="str">
        <f>IF(Tabela2[[#This Row],[Faltou Disciplina?]]="Não","-","")</f>
        <v/>
      </c>
      <c r="N123" s="18" t="str" cm="1">
        <f t="array" ref="N12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4" spans="1:14" x14ac:dyDescent="0.25">
      <c r="A124" s="18" t="s">
        <v>13</v>
      </c>
      <c r="B124" s="18" t="s">
        <v>18</v>
      </c>
      <c r="C124" s="18" t="s">
        <v>85</v>
      </c>
      <c r="D124" s="19" t="s">
        <v>86</v>
      </c>
      <c r="E124" s="18">
        <f t="shared" si="3"/>
        <v>123</v>
      </c>
      <c r="F124" s="20" t="b">
        <v>1</v>
      </c>
      <c r="G124" s="18" t="str">
        <f>IF(Tabela2[[#This Row],[Augin?]]=TRUE,"LIBERADO PARA OBRA","PENDENTE")</f>
        <v>LIBERADO PARA OBRA</v>
      </c>
      <c r="H124" s="21"/>
      <c r="I124" s="22"/>
      <c r="J124" s="21" t="str">
        <f>IF(Tabela2[[#This Row],[Faltou Disciplina?]]="Não","-","")</f>
        <v/>
      </c>
      <c r="K124" s="21" t="str">
        <f>IF(Tabela2[[#This Row],[Faltou Disciplina?]]="Não","-","")</f>
        <v/>
      </c>
      <c r="L124" s="21" t="str">
        <f>IF(Tabela2[[#This Row],[Faltou Disciplina?]]="Não","-","")</f>
        <v/>
      </c>
      <c r="M124" s="21" t="str">
        <f>IF(Tabela2[[#This Row],[Faltou Disciplina?]]="Não","-","")</f>
        <v/>
      </c>
      <c r="N124" s="18" t="str" cm="1">
        <f t="array" ref="N12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5" spans="1:14" x14ac:dyDescent="0.25">
      <c r="A125" s="18" t="s">
        <v>13</v>
      </c>
      <c r="B125" s="18" t="s">
        <v>38</v>
      </c>
      <c r="C125" s="18" t="s">
        <v>15</v>
      </c>
      <c r="D125" s="19" t="s">
        <v>39</v>
      </c>
      <c r="E125" s="18">
        <f t="shared" si="3"/>
        <v>124</v>
      </c>
      <c r="F125" s="20" t="b">
        <v>1</v>
      </c>
      <c r="G125" s="18" t="str">
        <f>IF(Tabela2[[#This Row],[Augin?]]=TRUE,"LIBERADO PARA OBRA","PENDENTE")</f>
        <v>LIBERADO PARA OBRA</v>
      </c>
      <c r="H125" s="21">
        <v>45993</v>
      </c>
      <c r="I125" s="22" t="s">
        <v>20</v>
      </c>
      <c r="J125" s="21" t="s">
        <v>40</v>
      </c>
      <c r="K125" s="21" t="s">
        <v>41</v>
      </c>
      <c r="L125" s="21" t="str">
        <f>IF(Tabela2[[#This Row],[Faltou Disciplina?]]="Não","-","")</f>
        <v/>
      </c>
      <c r="M125" s="21" t="str">
        <f>IF(Tabela2[[#This Row],[Faltou Disciplina?]]="Não","-","")</f>
        <v/>
      </c>
      <c r="N125" s="18" t="str" cm="1">
        <f t="array" ref="N125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26" spans="1:14" x14ac:dyDescent="0.25">
      <c r="A126" s="18" t="s">
        <v>13</v>
      </c>
      <c r="B126" s="18" t="s">
        <v>38</v>
      </c>
      <c r="C126" s="18" t="s">
        <v>15</v>
      </c>
      <c r="D126" s="19" t="s">
        <v>93</v>
      </c>
      <c r="E126" s="18">
        <f t="shared" si="3"/>
        <v>125</v>
      </c>
      <c r="F126" s="20" t="b">
        <v>1</v>
      </c>
      <c r="G126" s="18" t="str">
        <f>IF(Tabela2[[#This Row],[Augin?]]=TRUE,"LIBERADO PARA OBRA","PENDENTE")</f>
        <v>LIBERADO PARA OBRA</v>
      </c>
      <c r="H126" s="21"/>
      <c r="I126" s="22"/>
      <c r="J126" s="21" t="str">
        <f>IF(Tabela2[[#This Row],[Faltou Disciplina?]]="Não","-","")</f>
        <v/>
      </c>
      <c r="K126" s="21" t="str">
        <f>IF(Tabela2[[#This Row],[Faltou Disciplina?]]="Não","-","")</f>
        <v/>
      </c>
      <c r="L126" s="21" t="str">
        <f>IF(Tabela2[[#This Row],[Faltou Disciplina?]]="Não","-","")</f>
        <v/>
      </c>
      <c r="M126" s="21" t="str">
        <f>IF(Tabela2[[#This Row],[Faltou Disciplina?]]="Não","-","")</f>
        <v/>
      </c>
      <c r="N126" s="18" t="str" cm="1">
        <f t="array" ref="N12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7" spans="1:14" x14ac:dyDescent="0.25">
      <c r="A127" s="18" t="s">
        <v>13</v>
      </c>
      <c r="B127" s="18" t="s">
        <v>38</v>
      </c>
      <c r="C127" s="18" t="s">
        <v>15</v>
      </c>
      <c r="D127" s="19" t="s">
        <v>94</v>
      </c>
      <c r="E127" s="18">
        <f t="shared" si="3"/>
        <v>126</v>
      </c>
      <c r="F127" s="20" t="b">
        <v>1</v>
      </c>
      <c r="G127" s="18" t="str">
        <f>IF(Tabela2[[#This Row],[Augin?]]=TRUE,"LIBERADO PARA OBRA","PENDENTE")</f>
        <v>LIBERADO PARA OBRA</v>
      </c>
      <c r="H127" s="21"/>
      <c r="I127" s="22"/>
      <c r="J127" s="21" t="str">
        <f>IF(Tabela2[[#This Row],[Faltou Disciplina?]]="Não","-","")</f>
        <v/>
      </c>
      <c r="K127" s="21" t="str">
        <f>IF(Tabela2[[#This Row],[Faltou Disciplina?]]="Não","-","")</f>
        <v/>
      </c>
      <c r="L127" s="21" t="str">
        <f>IF(Tabela2[[#This Row],[Faltou Disciplina?]]="Não","-","")</f>
        <v/>
      </c>
      <c r="M127" s="21" t="str">
        <f>IF(Tabela2[[#This Row],[Faltou Disciplina?]]="Não","-","")</f>
        <v/>
      </c>
      <c r="N127" s="18" t="str" cm="1">
        <f t="array" ref="N12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8" spans="1:14" x14ac:dyDescent="0.25">
      <c r="A128" s="18" t="s">
        <v>13</v>
      </c>
      <c r="B128" s="18" t="s">
        <v>38</v>
      </c>
      <c r="C128" s="18" t="s">
        <v>15</v>
      </c>
      <c r="D128" s="19" t="s">
        <v>95</v>
      </c>
      <c r="E128" s="18">
        <f t="shared" si="3"/>
        <v>127</v>
      </c>
      <c r="F128" s="20" t="b">
        <v>1</v>
      </c>
      <c r="G128" s="18" t="str">
        <f>IF(Tabela2[[#This Row],[Augin?]]=TRUE,"LIBERADO PARA OBRA","PENDENTE")</f>
        <v>LIBERADO PARA OBRA</v>
      </c>
      <c r="H128" s="21"/>
      <c r="I128" s="22"/>
      <c r="J128" s="21" t="str">
        <f>IF(Tabela2[[#This Row],[Faltou Disciplina?]]="Não","-","")</f>
        <v/>
      </c>
      <c r="K128" s="21" t="str">
        <f>IF(Tabela2[[#This Row],[Faltou Disciplina?]]="Não","-","")</f>
        <v/>
      </c>
      <c r="L128" s="21" t="str">
        <f>IF(Tabela2[[#This Row],[Faltou Disciplina?]]="Não","-","")</f>
        <v/>
      </c>
      <c r="M128" s="21" t="str">
        <f>IF(Tabela2[[#This Row],[Faltou Disciplina?]]="Não","-","")</f>
        <v/>
      </c>
      <c r="N128" s="18" t="str" cm="1">
        <f t="array" ref="N12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29" spans="1:14" x14ac:dyDescent="0.25">
      <c r="A129" s="18" t="s">
        <v>13</v>
      </c>
      <c r="B129" s="18" t="s">
        <v>38</v>
      </c>
      <c r="C129" s="18" t="s">
        <v>15</v>
      </c>
      <c r="D129" s="19" t="s">
        <v>96</v>
      </c>
      <c r="E129" s="18">
        <f t="shared" si="3"/>
        <v>128</v>
      </c>
      <c r="F129" s="20" t="b">
        <v>1</v>
      </c>
      <c r="G129" s="18" t="str">
        <f>IF(Tabela2[[#This Row],[Augin?]]=TRUE,"LIBERADO PARA OBRA","PENDENTE")</f>
        <v>LIBERADO PARA OBRA</v>
      </c>
      <c r="H129" s="21"/>
      <c r="I129" s="22"/>
      <c r="J129" s="21" t="str">
        <f>IF(Tabela2[[#This Row],[Faltou Disciplina?]]="Não","-","")</f>
        <v/>
      </c>
      <c r="K129" s="21" t="str">
        <f>IF(Tabela2[[#This Row],[Faltou Disciplina?]]="Não","-","")</f>
        <v/>
      </c>
      <c r="L129" s="21" t="str">
        <f>IF(Tabela2[[#This Row],[Faltou Disciplina?]]="Não","-","")</f>
        <v/>
      </c>
      <c r="M129" s="21" t="str">
        <f>IF(Tabela2[[#This Row],[Faltou Disciplina?]]="Não","-","")</f>
        <v/>
      </c>
      <c r="N129" s="18" t="str" cm="1">
        <f t="array" ref="N12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0" spans="1:14" x14ac:dyDescent="0.25">
      <c r="A130" s="18" t="s">
        <v>13</v>
      </c>
      <c r="B130" s="18" t="s">
        <v>38</v>
      </c>
      <c r="C130" s="18" t="s">
        <v>15</v>
      </c>
      <c r="D130" s="19" t="s">
        <v>97</v>
      </c>
      <c r="E130" s="18">
        <f t="shared" si="3"/>
        <v>129</v>
      </c>
      <c r="F130" s="20" t="b">
        <v>1</v>
      </c>
      <c r="G130" s="18" t="str">
        <f>IF(Tabela2[[#This Row],[Augin?]]=TRUE,"LIBERADO PARA OBRA","PENDENTE")</f>
        <v>LIBERADO PARA OBRA</v>
      </c>
      <c r="H130" s="21"/>
      <c r="I130" s="22"/>
      <c r="J130" s="21" t="str">
        <f>IF(Tabela2[[#This Row],[Faltou Disciplina?]]="Não","-","")</f>
        <v/>
      </c>
      <c r="K130" s="21" t="str">
        <f>IF(Tabela2[[#This Row],[Faltou Disciplina?]]="Não","-","")</f>
        <v/>
      </c>
      <c r="L130" s="21" t="str">
        <f>IF(Tabela2[[#This Row],[Faltou Disciplina?]]="Não","-","")</f>
        <v/>
      </c>
      <c r="M130" s="21" t="str">
        <f>IF(Tabela2[[#This Row],[Faltou Disciplina?]]="Não","-","")</f>
        <v/>
      </c>
      <c r="N130" s="18" t="str" cm="1">
        <f t="array" ref="N13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1" spans="1:14" x14ac:dyDescent="0.25">
      <c r="A131" s="18" t="s">
        <v>13</v>
      </c>
      <c r="B131" s="18" t="s">
        <v>38</v>
      </c>
      <c r="C131" s="18" t="s">
        <v>15</v>
      </c>
      <c r="D131" s="19" t="s">
        <v>98</v>
      </c>
      <c r="E131" s="18">
        <f t="shared" si="3"/>
        <v>130</v>
      </c>
      <c r="F131" s="20" t="b">
        <v>1</v>
      </c>
      <c r="G131" s="18" t="str">
        <f>IF(Tabela2[[#This Row],[Augin?]]=TRUE,"LIBERADO PARA OBRA","PENDENTE")</f>
        <v>LIBERADO PARA OBRA</v>
      </c>
      <c r="H131" s="21"/>
      <c r="I131" s="22"/>
      <c r="J131" s="21" t="str">
        <f>IF(Tabela2[[#This Row],[Faltou Disciplina?]]="Não","-","")</f>
        <v/>
      </c>
      <c r="K131" s="21" t="str">
        <f>IF(Tabela2[[#This Row],[Faltou Disciplina?]]="Não","-","")</f>
        <v/>
      </c>
      <c r="L131" s="21" t="str">
        <f>IF(Tabela2[[#This Row],[Faltou Disciplina?]]="Não","-","")</f>
        <v/>
      </c>
      <c r="M131" s="21" t="str">
        <f>IF(Tabela2[[#This Row],[Faltou Disciplina?]]="Não","-","")</f>
        <v/>
      </c>
      <c r="N131" s="18" t="str" cm="1">
        <f t="array" ref="N13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2" spans="1:14" x14ac:dyDescent="0.25">
      <c r="A132" s="18" t="s">
        <v>13</v>
      </c>
      <c r="B132" s="18" t="s">
        <v>38</v>
      </c>
      <c r="C132" s="18" t="s">
        <v>15</v>
      </c>
      <c r="D132" s="19" t="s">
        <v>99</v>
      </c>
      <c r="E132" s="18">
        <f t="shared" si="3"/>
        <v>131</v>
      </c>
      <c r="F132" s="20" t="b">
        <v>1</v>
      </c>
      <c r="G132" s="18" t="str">
        <f>IF(Tabela2[[#This Row],[Augin?]]=TRUE,"LIBERADO PARA OBRA","PENDENTE")</f>
        <v>LIBERADO PARA OBRA</v>
      </c>
      <c r="H132" s="21"/>
      <c r="I132" s="22"/>
      <c r="J132" s="21" t="str">
        <f>IF(Tabela2[[#This Row],[Faltou Disciplina?]]="Não","-","")</f>
        <v/>
      </c>
      <c r="K132" s="21" t="str">
        <f>IF(Tabela2[[#This Row],[Faltou Disciplina?]]="Não","-","")</f>
        <v/>
      </c>
      <c r="L132" s="21" t="str">
        <f>IF(Tabela2[[#This Row],[Faltou Disciplina?]]="Não","-","")</f>
        <v/>
      </c>
      <c r="M132" s="21" t="str">
        <f>IF(Tabela2[[#This Row],[Faltou Disciplina?]]="Não","-","")</f>
        <v/>
      </c>
      <c r="N132" s="18" t="str" cm="1">
        <f t="array" ref="N13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3" spans="1:14" x14ac:dyDescent="0.25">
      <c r="A133" s="18" t="s">
        <v>13</v>
      </c>
      <c r="B133" s="18" t="s">
        <v>38</v>
      </c>
      <c r="C133" s="18" t="s">
        <v>15</v>
      </c>
      <c r="D133" s="19" t="s">
        <v>100</v>
      </c>
      <c r="E133" s="18">
        <f t="shared" si="3"/>
        <v>132</v>
      </c>
      <c r="F133" s="20" t="b">
        <v>1</v>
      </c>
      <c r="G133" s="18" t="str">
        <f>IF(Tabela2[[#This Row],[Augin?]]=TRUE,"LIBERADO PARA OBRA","PENDENTE")</f>
        <v>LIBERADO PARA OBRA</v>
      </c>
      <c r="H133" s="21"/>
      <c r="I133" s="22"/>
      <c r="J133" s="21" t="str">
        <f>IF(Tabela2[[#This Row],[Faltou Disciplina?]]="Não","-","")</f>
        <v/>
      </c>
      <c r="K133" s="21" t="str">
        <f>IF(Tabela2[[#This Row],[Faltou Disciplina?]]="Não","-","")</f>
        <v/>
      </c>
      <c r="L133" s="21" t="str">
        <f>IF(Tabela2[[#This Row],[Faltou Disciplina?]]="Não","-","")</f>
        <v/>
      </c>
      <c r="M133" s="21" t="str">
        <f>IF(Tabela2[[#This Row],[Faltou Disciplina?]]="Não","-","")</f>
        <v/>
      </c>
      <c r="N133" s="18" t="str" cm="1">
        <f t="array" ref="N13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4" spans="1:14" x14ac:dyDescent="0.25">
      <c r="A134" s="18" t="s">
        <v>13</v>
      </c>
      <c r="B134" s="18" t="s">
        <v>38</v>
      </c>
      <c r="C134" s="18" t="s">
        <v>15</v>
      </c>
      <c r="D134" s="19" t="s">
        <v>101</v>
      </c>
      <c r="E134" s="18">
        <f t="shared" si="3"/>
        <v>133</v>
      </c>
      <c r="F134" s="20" t="b">
        <v>1</v>
      </c>
      <c r="G134" s="18" t="str">
        <f>IF(Tabela2[[#This Row],[Augin?]]=TRUE,"LIBERADO PARA OBRA","PENDENTE")</f>
        <v>LIBERADO PARA OBRA</v>
      </c>
      <c r="H134" s="21"/>
      <c r="I134" s="22"/>
      <c r="J134" s="21" t="str">
        <f>IF(Tabela2[[#This Row],[Faltou Disciplina?]]="Não","-","")</f>
        <v/>
      </c>
      <c r="K134" s="21" t="str">
        <f>IF(Tabela2[[#This Row],[Faltou Disciplina?]]="Não","-","")</f>
        <v/>
      </c>
      <c r="L134" s="21" t="str">
        <f>IF(Tabela2[[#This Row],[Faltou Disciplina?]]="Não","-","")</f>
        <v/>
      </c>
      <c r="M134" s="21" t="str">
        <f>IF(Tabela2[[#This Row],[Faltou Disciplina?]]="Não","-","")</f>
        <v/>
      </c>
      <c r="N134" s="18" t="str" cm="1">
        <f t="array" ref="N13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5" spans="1:14" x14ac:dyDescent="0.25">
      <c r="A135" s="18" t="s">
        <v>13</v>
      </c>
      <c r="B135" s="18" t="s">
        <v>38</v>
      </c>
      <c r="C135" s="18" t="s">
        <v>15</v>
      </c>
      <c r="D135" s="19" t="s">
        <v>102</v>
      </c>
      <c r="E135" s="18">
        <f t="shared" si="3"/>
        <v>134</v>
      </c>
      <c r="F135" s="20" t="b">
        <v>1</v>
      </c>
      <c r="G135" s="18" t="str">
        <f>IF(Tabela2[[#This Row],[Augin?]]=TRUE,"LIBERADO PARA OBRA","PENDENTE")</f>
        <v>LIBERADO PARA OBRA</v>
      </c>
      <c r="H135" s="21"/>
      <c r="I135" s="22"/>
      <c r="J135" s="21" t="str">
        <f>IF(Tabela2[[#This Row],[Faltou Disciplina?]]="Não","-","")</f>
        <v/>
      </c>
      <c r="K135" s="21" t="str">
        <f>IF(Tabela2[[#This Row],[Faltou Disciplina?]]="Não","-","")</f>
        <v/>
      </c>
      <c r="L135" s="21" t="str">
        <f>IF(Tabela2[[#This Row],[Faltou Disciplina?]]="Não","-","")</f>
        <v/>
      </c>
      <c r="M135" s="21" t="str">
        <f>IF(Tabela2[[#This Row],[Faltou Disciplina?]]="Não","-","")</f>
        <v/>
      </c>
      <c r="N135" s="18" t="str" cm="1">
        <f t="array" ref="N13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6" spans="1:14" x14ac:dyDescent="0.25">
      <c r="A136" s="18" t="s">
        <v>13</v>
      </c>
      <c r="B136" s="18" t="s">
        <v>38</v>
      </c>
      <c r="C136" s="18" t="s">
        <v>15</v>
      </c>
      <c r="D136" s="19" t="s">
        <v>103</v>
      </c>
      <c r="E136" s="18">
        <f t="shared" si="3"/>
        <v>135</v>
      </c>
      <c r="F136" s="20" t="b">
        <v>1</v>
      </c>
      <c r="G136" s="18" t="str">
        <f>IF(Tabela2[[#This Row],[Augin?]]=TRUE,"LIBERADO PARA OBRA","PENDENTE")</f>
        <v>LIBERADO PARA OBRA</v>
      </c>
      <c r="H136" s="21"/>
      <c r="I136" s="22"/>
      <c r="J136" s="21" t="str">
        <f>IF(Tabela2[[#This Row],[Faltou Disciplina?]]="Não","-","")</f>
        <v/>
      </c>
      <c r="K136" s="21" t="str">
        <f>IF(Tabela2[[#This Row],[Faltou Disciplina?]]="Não","-","")</f>
        <v/>
      </c>
      <c r="L136" s="21" t="str">
        <f>IF(Tabela2[[#This Row],[Faltou Disciplina?]]="Não","-","")</f>
        <v/>
      </c>
      <c r="M136" s="21" t="str">
        <f>IF(Tabela2[[#This Row],[Faltou Disciplina?]]="Não","-","")</f>
        <v/>
      </c>
      <c r="N136" s="18" t="str" cm="1">
        <f t="array" ref="N13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7" spans="1:14" x14ac:dyDescent="0.25">
      <c r="A137" s="18" t="s">
        <v>13</v>
      </c>
      <c r="B137" s="18" t="s">
        <v>38</v>
      </c>
      <c r="C137" s="18" t="s">
        <v>15</v>
      </c>
      <c r="D137" s="19" t="s">
        <v>104</v>
      </c>
      <c r="E137" s="18">
        <f t="shared" si="3"/>
        <v>136</v>
      </c>
      <c r="F137" s="20" t="b">
        <v>1</v>
      </c>
      <c r="G137" s="18" t="str">
        <f>IF(Tabela2[[#This Row],[Augin?]]=TRUE,"LIBERADO PARA OBRA","PENDENTE")</f>
        <v>LIBERADO PARA OBRA</v>
      </c>
      <c r="H137" s="21"/>
      <c r="I137" s="22"/>
      <c r="J137" s="21" t="str">
        <f>IF(Tabela2[[#This Row],[Faltou Disciplina?]]="Não","-","")</f>
        <v/>
      </c>
      <c r="K137" s="21" t="str">
        <f>IF(Tabela2[[#This Row],[Faltou Disciplina?]]="Não","-","")</f>
        <v/>
      </c>
      <c r="L137" s="21" t="str">
        <f>IF(Tabela2[[#This Row],[Faltou Disciplina?]]="Não","-","")</f>
        <v/>
      </c>
      <c r="M137" s="21" t="str">
        <f>IF(Tabela2[[#This Row],[Faltou Disciplina?]]="Não","-","")</f>
        <v/>
      </c>
      <c r="N137" s="18" t="str" cm="1">
        <f t="array" ref="N13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8" spans="1:14" x14ac:dyDescent="0.25">
      <c r="A138" s="18" t="s">
        <v>13</v>
      </c>
      <c r="B138" s="18" t="s">
        <v>38</v>
      </c>
      <c r="C138" s="18" t="s">
        <v>15</v>
      </c>
      <c r="D138" s="19" t="s">
        <v>105</v>
      </c>
      <c r="E138" s="18">
        <f t="shared" si="3"/>
        <v>137</v>
      </c>
      <c r="F138" s="20" t="b">
        <v>1</v>
      </c>
      <c r="G138" s="18" t="str">
        <f>IF(Tabela2[[#This Row],[Augin?]]=TRUE,"LIBERADO PARA OBRA","PENDENTE")</f>
        <v>LIBERADO PARA OBRA</v>
      </c>
      <c r="H138" s="21"/>
      <c r="I138" s="22"/>
      <c r="J138" s="21" t="str">
        <f>IF(Tabela2[[#This Row],[Faltou Disciplina?]]="Não","-","")</f>
        <v/>
      </c>
      <c r="K138" s="21" t="str">
        <f>IF(Tabela2[[#This Row],[Faltou Disciplina?]]="Não","-","")</f>
        <v/>
      </c>
      <c r="L138" s="21" t="str">
        <f>IF(Tabela2[[#This Row],[Faltou Disciplina?]]="Não","-","")</f>
        <v/>
      </c>
      <c r="M138" s="21" t="str">
        <f>IF(Tabela2[[#This Row],[Faltou Disciplina?]]="Não","-","")</f>
        <v/>
      </c>
      <c r="N138" s="18" t="str" cm="1">
        <f t="array" ref="N13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39" spans="1:14" x14ac:dyDescent="0.25">
      <c r="A139" s="18" t="s">
        <v>13</v>
      </c>
      <c r="B139" s="18" t="s">
        <v>38</v>
      </c>
      <c r="C139" s="18" t="s">
        <v>15</v>
      </c>
      <c r="D139" s="19" t="s">
        <v>106</v>
      </c>
      <c r="E139" s="18">
        <f t="shared" si="3"/>
        <v>138</v>
      </c>
      <c r="F139" s="20" t="b">
        <v>1</v>
      </c>
      <c r="G139" s="18" t="str">
        <f>IF(Tabela2[[#This Row],[Augin?]]=TRUE,"LIBERADO PARA OBRA","PENDENTE")</f>
        <v>LIBERADO PARA OBRA</v>
      </c>
      <c r="H139" s="21"/>
      <c r="I139" s="22"/>
      <c r="J139" s="21" t="str">
        <f>IF(Tabela2[[#This Row],[Faltou Disciplina?]]="Não","-","")</f>
        <v/>
      </c>
      <c r="K139" s="21" t="str">
        <f>IF(Tabela2[[#This Row],[Faltou Disciplina?]]="Não","-","")</f>
        <v/>
      </c>
      <c r="L139" s="21" t="str">
        <f>IF(Tabela2[[#This Row],[Faltou Disciplina?]]="Não","-","")</f>
        <v/>
      </c>
      <c r="M139" s="21" t="str">
        <f>IF(Tabela2[[#This Row],[Faltou Disciplina?]]="Não","-","")</f>
        <v/>
      </c>
      <c r="N139" s="18" t="str" cm="1">
        <f t="array" ref="N13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0" spans="1:14" x14ac:dyDescent="0.25">
      <c r="A140" s="18" t="s">
        <v>13</v>
      </c>
      <c r="B140" s="18" t="s">
        <v>38</v>
      </c>
      <c r="C140" s="18" t="s">
        <v>15</v>
      </c>
      <c r="D140" s="19" t="s">
        <v>76</v>
      </c>
      <c r="E140" s="18">
        <f t="shared" si="3"/>
        <v>139</v>
      </c>
      <c r="F140" s="20" t="b">
        <v>1</v>
      </c>
      <c r="G140" s="18" t="str">
        <f>IF(Tabela2[[#This Row],[Augin?]]=TRUE,"LIBERADO PARA OBRA","PENDENTE")</f>
        <v>LIBERADO PARA OBRA</v>
      </c>
      <c r="H140" s="21"/>
      <c r="I140" s="22"/>
      <c r="J140" s="21" t="str">
        <f>IF(Tabela2[[#This Row],[Faltou Disciplina?]]="Não","-","")</f>
        <v/>
      </c>
      <c r="K140" s="21" t="str">
        <f>IF(Tabela2[[#This Row],[Faltou Disciplina?]]="Não","-","")</f>
        <v/>
      </c>
      <c r="L140" s="21" t="str">
        <f>IF(Tabela2[[#This Row],[Faltou Disciplina?]]="Não","-","")</f>
        <v/>
      </c>
      <c r="M140" s="21" t="str">
        <f>IF(Tabela2[[#This Row],[Faltou Disciplina?]]="Não","-","")</f>
        <v/>
      </c>
      <c r="N140" s="18" t="str" cm="1">
        <f t="array" ref="N14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1" spans="1:14" x14ac:dyDescent="0.25">
      <c r="A141" s="18" t="s">
        <v>13</v>
      </c>
      <c r="B141" s="18" t="s">
        <v>38</v>
      </c>
      <c r="C141" s="18" t="s">
        <v>79</v>
      </c>
      <c r="D141" s="19" t="s">
        <v>338</v>
      </c>
      <c r="E141" s="18">
        <f t="shared" si="3"/>
        <v>140</v>
      </c>
      <c r="F141" s="20" t="b">
        <v>1</v>
      </c>
      <c r="G141" s="18" t="str">
        <f>IF(Tabela2[[#This Row],[Augin?]]=TRUE,"LIBERADO PARA OBRA","PENDENTE")</f>
        <v>LIBERADO PARA OBRA</v>
      </c>
      <c r="H141" s="21"/>
      <c r="I141" s="22"/>
      <c r="J141" s="21" t="str">
        <f>IF(Tabela2[[#This Row],[Faltou Disciplina?]]="Não","-","")</f>
        <v/>
      </c>
      <c r="K141" s="21" t="str">
        <f>IF(Tabela2[[#This Row],[Faltou Disciplina?]]="Não","-","")</f>
        <v/>
      </c>
      <c r="L141" s="21" t="str">
        <f>IF(Tabela2[[#This Row],[Faltou Disciplina?]]="Não","-","")</f>
        <v/>
      </c>
      <c r="M141" s="21" t="str">
        <f>IF(Tabela2[[#This Row],[Faltou Disciplina?]]="Não","-","")</f>
        <v/>
      </c>
      <c r="N141" s="18" t="str" cm="1">
        <f t="array" ref="N14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2" spans="1:14" x14ac:dyDescent="0.25">
      <c r="A142" s="18" t="s">
        <v>13</v>
      </c>
      <c r="B142" s="18" t="s">
        <v>38</v>
      </c>
      <c r="C142" s="18" t="s">
        <v>79</v>
      </c>
      <c r="D142" s="19" t="s">
        <v>339</v>
      </c>
      <c r="E142" s="18">
        <f t="shared" si="3"/>
        <v>141</v>
      </c>
      <c r="F142" s="20" t="b">
        <v>1</v>
      </c>
      <c r="G142" s="18" t="str">
        <f>IF(Tabela2[[#This Row],[Augin?]]=TRUE,"LIBERADO PARA OBRA","PENDENTE")</f>
        <v>LIBERADO PARA OBRA</v>
      </c>
      <c r="H142" s="21"/>
      <c r="I142" s="22"/>
      <c r="J142" s="21" t="str">
        <f>IF(Tabela2[[#This Row],[Faltou Disciplina?]]="Não","-","")</f>
        <v/>
      </c>
      <c r="K142" s="21" t="str">
        <f>IF(Tabela2[[#This Row],[Faltou Disciplina?]]="Não","-","")</f>
        <v/>
      </c>
      <c r="L142" s="21" t="str">
        <f>IF(Tabela2[[#This Row],[Faltou Disciplina?]]="Não","-","")</f>
        <v/>
      </c>
      <c r="M142" s="21" t="str">
        <f>IF(Tabela2[[#This Row],[Faltou Disciplina?]]="Não","-","")</f>
        <v/>
      </c>
      <c r="N142" s="18" t="str" cm="1">
        <f t="array" ref="N14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3" spans="1:14" x14ac:dyDescent="0.25">
      <c r="A143" s="18" t="s">
        <v>13</v>
      </c>
      <c r="B143" s="18" t="s">
        <v>38</v>
      </c>
      <c r="C143" s="18" t="s">
        <v>85</v>
      </c>
      <c r="D143" s="19" t="s">
        <v>340</v>
      </c>
      <c r="E143" s="18">
        <f t="shared" si="3"/>
        <v>142</v>
      </c>
      <c r="F143" s="20" t="b">
        <v>1</v>
      </c>
      <c r="G143" s="18" t="str">
        <f>IF(Tabela2[[#This Row],[Augin?]]=TRUE,"LIBERADO PARA OBRA","PENDENTE")</f>
        <v>LIBERADO PARA OBRA</v>
      </c>
      <c r="H143" s="21"/>
      <c r="I143" s="22"/>
      <c r="J143" s="21" t="str">
        <f>IF(Tabela2[[#This Row],[Faltou Disciplina?]]="Não","-","")</f>
        <v/>
      </c>
      <c r="K143" s="21" t="str">
        <f>IF(Tabela2[[#This Row],[Faltou Disciplina?]]="Não","-","")</f>
        <v/>
      </c>
      <c r="L143" s="21" t="str">
        <f>IF(Tabela2[[#This Row],[Faltou Disciplina?]]="Não","-","")</f>
        <v/>
      </c>
      <c r="M143" s="21" t="str">
        <f>IF(Tabela2[[#This Row],[Faltou Disciplina?]]="Não","-","")</f>
        <v/>
      </c>
      <c r="N143" s="18" t="str" cm="1">
        <f t="array" ref="N14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4" spans="1:14" x14ac:dyDescent="0.25">
      <c r="A144" s="18" t="s">
        <v>162</v>
      </c>
      <c r="B144" s="18" t="s">
        <v>107</v>
      </c>
      <c r="C144" s="18" t="s">
        <v>163</v>
      </c>
      <c r="D144" s="19" t="s">
        <v>164</v>
      </c>
      <c r="E144" s="18">
        <v>201</v>
      </c>
      <c r="F144" s="20" t="b">
        <v>1</v>
      </c>
      <c r="G144" s="18" t="str">
        <f>IF(Tabela2[[#This Row],[Augin?]]=TRUE,"LIBERADO PARA OBRA","PENDENTE")</f>
        <v>LIBERADO PARA OBRA</v>
      </c>
      <c r="H144" s="21"/>
      <c r="I144" s="22"/>
      <c r="J144" s="18"/>
      <c r="K144" s="19"/>
      <c r="L144" s="21" t="str">
        <f>IF(Tabela2[[#This Row],[Faltou Disciplina?]]="Não","-","")</f>
        <v/>
      </c>
      <c r="M144" s="21" t="str">
        <f>IF(Tabela2[[#This Row],[Faltou Disciplina?]]="Não","-","")</f>
        <v/>
      </c>
      <c r="N144" s="18" t="str" cm="1">
        <f t="array" ref="N14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5" spans="1:14" x14ac:dyDescent="0.25">
      <c r="A145" s="18" t="s">
        <v>162</v>
      </c>
      <c r="B145" s="18" t="s">
        <v>107</v>
      </c>
      <c r="C145" s="18" t="s">
        <v>163</v>
      </c>
      <c r="D145" s="19" t="s">
        <v>131</v>
      </c>
      <c r="E145" s="18">
        <f t="shared" si="3"/>
        <v>202</v>
      </c>
      <c r="F145" s="20" t="b">
        <v>1</v>
      </c>
      <c r="G145" s="18" t="str">
        <f>IF(Tabela2[[#This Row],[Augin?]]=TRUE,"LIBERADO PARA OBRA","PENDENTE")</f>
        <v>LIBERADO PARA OBRA</v>
      </c>
      <c r="H145" s="21"/>
      <c r="I145" s="22"/>
      <c r="J145" s="18"/>
      <c r="K145" s="19"/>
      <c r="L145" s="21" t="str">
        <f>IF(Tabela2[[#This Row],[Faltou Disciplina?]]="Não","-","")</f>
        <v/>
      </c>
      <c r="M145" s="21" t="str">
        <f>IF(Tabela2[[#This Row],[Faltou Disciplina?]]="Não","-","")</f>
        <v/>
      </c>
      <c r="N145" s="18" t="str" cm="1">
        <f t="array" ref="N14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6" spans="1:14" x14ac:dyDescent="0.25">
      <c r="A146" s="18" t="s">
        <v>162</v>
      </c>
      <c r="B146" s="18" t="s">
        <v>107</v>
      </c>
      <c r="C146" s="18" t="s">
        <v>163</v>
      </c>
      <c r="D146" s="19" t="s">
        <v>130</v>
      </c>
      <c r="E146" s="18">
        <f t="shared" si="3"/>
        <v>203</v>
      </c>
      <c r="F146" s="20" t="b">
        <v>0</v>
      </c>
      <c r="G146" s="18" t="str">
        <f>IF(Tabela2[[#This Row],[Augin?]]=TRUE,"LIBERADO PARA OBRA","PENDENTE")</f>
        <v>PENDENTE</v>
      </c>
      <c r="H146" s="21"/>
      <c r="I146" s="22"/>
      <c r="J146" s="18"/>
      <c r="K146" s="19"/>
      <c r="L146" s="21" t="str">
        <f>IF(Tabela2[[#This Row],[Faltou Disciplina?]]="Não","-","")</f>
        <v/>
      </c>
      <c r="M146" s="21" t="str">
        <f>IF(Tabela2[[#This Row],[Faltou Disciplina?]]="Não","-","")</f>
        <v/>
      </c>
      <c r="N146" s="18" t="str" cm="1">
        <f t="array" ref="N14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7" spans="1:14" x14ac:dyDescent="0.25">
      <c r="A147" s="18" t="s">
        <v>162</v>
      </c>
      <c r="B147" s="18" t="s">
        <v>107</v>
      </c>
      <c r="C147" s="18" t="s">
        <v>163</v>
      </c>
      <c r="D147" s="19" t="s">
        <v>165</v>
      </c>
      <c r="E147" s="18">
        <f t="shared" si="3"/>
        <v>204</v>
      </c>
      <c r="F147" s="20" t="b">
        <v>0</v>
      </c>
      <c r="G147" s="18" t="str">
        <f>IF(Tabela2[[#This Row],[Augin?]]=TRUE,"LIBERADO PARA OBRA","PENDENTE")</f>
        <v>PENDENTE</v>
      </c>
      <c r="H147" s="21"/>
      <c r="I147" s="22"/>
      <c r="J147" s="18"/>
      <c r="K147" s="19"/>
      <c r="L147" s="21" t="str">
        <f>IF(Tabela2[[#This Row],[Faltou Disciplina?]]="Não","-","")</f>
        <v/>
      </c>
      <c r="M147" s="21" t="str">
        <f>IF(Tabela2[[#This Row],[Faltou Disciplina?]]="Não","-","")</f>
        <v/>
      </c>
      <c r="N147" s="18" t="str" cm="1">
        <f t="array" ref="N14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48" spans="1:14" x14ac:dyDescent="0.25">
      <c r="A148" s="18" t="s">
        <v>162</v>
      </c>
      <c r="B148" s="18" t="s">
        <v>107</v>
      </c>
      <c r="C148" s="18" t="s">
        <v>163</v>
      </c>
      <c r="D148" s="19" t="s">
        <v>166</v>
      </c>
      <c r="E148" s="18">
        <f t="shared" si="3"/>
        <v>205</v>
      </c>
      <c r="F148" s="20" t="b">
        <v>1</v>
      </c>
      <c r="G148" s="18" t="str">
        <f>IF(Tabela2[[#This Row],[Augin?]]=TRUE,"LIBERADO PARA OBRA","PENDENTE")</f>
        <v>LIBERADO PARA OBRA</v>
      </c>
      <c r="H148" s="21">
        <v>46042</v>
      </c>
      <c r="I148" s="22" t="s">
        <v>20</v>
      </c>
      <c r="J148" s="18" t="s">
        <v>334</v>
      </c>
      <c r="K148" s="19" t="s">
        <v>343</v>
      </c>
      <c r="L148" s="21" t="str">
        <f>IF(Tabela2[[#This Row],[Faltou Disciplina?]]="Não","-","")</f>
        <v/>
      </c>
      <c r="M148" s="21" t="str">
        <f>IF(Tabela2[[#This Row],[Faltou Disciplina?]]="Não","-","")</f>
        <v/>
      </c>
      <c r="N148" s="18" t="str" cm="1">
        <f t="array" ref="N148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49" spans="1:14" x14ac:dyDescent="0.25">
      <c r="A149" s="18" t="s">
        <v>162</v>
      </c>
      <c r="B149" s="18" t="s">
        <v>107</v>
      </c>
      <c r="C149" s="18" t="s">
        <v>163</v>
      </c>
      <c r="D149" s="19" t="s">
        <v>167</v>
      </c>
      <c r="E149" s="18">
        <f t="shared" si="3"/>
        <v>206</v>
      </c>
      <c r="F149" s="20" t="b">
        <v>1</v>
      </c>
      <c r="G149" s="18" t="str">
        <f>IF(Tabela2[[#This Row],[Augin?]]=TRUE,"LIBERADO PARA OBRA","PENDENTE")</f>
        <v>LIBERADO PARA OBRA</v>
      </c>
      <c r="H149" s="21"/>
      <c r="I149" s="22"/>
      <c r="J149" s="18"/>
      <c r="K149" s="19"/>
      <c r="L149" s="21" t="str">
        <f>IF(Tabela2[[#This Row],[Faltou Disciplina?]]="Não","-","")</f>
        <v/>
      </c>
      <c r="M149" s="21" t="str">
        <f>IF(Tabela2[[#This Row],[Faltou Disciplina?]]="Não","-","")</f>
        <v/>
      </c>
      <c r="N149" s="18" t="str" cm="1">
        <f t="array" ref="N14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50" spans="1:14" x14ac:dyDescent="0.25">
      <c r="A150" s="18" t="s">
        <v>162</v>
      </c>
      <c r="B150" s="18" t="s">
        <v>107</v>
      </c>
      <c r="C150" s="18" t="s">
        <v>163</v>
      </c>
      <c r="D150" s="19" t="s">
        <v>330</v>
      </c>
      <c r="E150" s="18">
        <f t="shared" si="3"/>
        <v>207</v>
      </c>
      <c r="F150" s="20" t="b">
        <v>0</v>
      </c>
      <c r="G150" s="18" t="str">
        <f>IF(Tabela2[[#This Row],[Augin?]]=TRUE,"LIBERADO PARA OBRA","PENDENTE")</f>
        <v>PENDENTE</v>
      </c>
      <c r="H150" s="21"/>
      <c r="I150" s="22"/>
      <c r="J150" s="18"/>
      <c r="K150" s="19"/>
      <c r="L150" s="21" t="str">
        <f>IF(Tabela2[[#This Row],[Faltou Disciplina?]]="Não","-","")</f>
        <v/>
      </c>
      <c r="M150" s="21" t="str">
        <f>IF(Tabela2[[#This Row],[Faltou Disciplina?]]="Não","-","")</f>
        <v/>
      </c>
      <c r="N150" s="18" t="str" cm="1">
        <f t="array" ref="N15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51" spans="1:14" x14ac:dyDescent="0.25">
      <c r="A151" s="18" t="s">
        <v>162</v>
      </c>
      <c r="B151" s="18" t="s">
        <v>107</v>
      </c>
      <c r="C151" s="18" t="s">
        <v>163</v>
      </c>
      <c r="D151" s="19" t="s">
        <v>168</v>
      </c>
      <c r="E151" s="18">
        <f t="shared" si="3"/>
        <v>208</v>
      </c>
      <c r="F151" s="20" t="b">
        <v>1</v>
      </c>
      <c r="G151" s="18" t="str">
        <f>IF(Tabela2[[#This Row],[Augin?]]=TRUE,"LIBERADO PARA OBRA","PENDENTE")</f>
        <v>LIBERADO PARA OBRA</v>
      </c>
      <c r="H151" s="21">
        <v>46042</v>
      </c>
      <c r="I151" s="22" t="s">
        <v>20</v>
      </c>
      <c r="J151" s="18" t="s">
        <v>221</v>
      </c>
      <c r="K151" s="19" t="s">
        <v>342</v>
      </c>
      <c r="L151" s="21"/>
      <c r="M151" s="21" t="str">
        <f>IF(Tabela2[[#This Row],[Faltou Disciplina?]]="Não","-","")</f>
        <v/>
      </c>
      <c r="N151" s="18" t="str" cm="1">
        <f t="array" ref="N151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52" spans="1:14" x14ac:dyDescent="0.25">
      <c r="A152" s="18" t="s">
        <v>162</v>
      </c>
      <c r="B152" s="18" t="s">
        <v>107</v>
      </c>
      <c r="C152" s="18" t="s">
        <v>163</v>
      </c>
      <c r="D152" s="19" t="s">
        <v>169</v>
      </c>
      <c r="E152" s="18">
        <f t="shared" si="3"/>
        <v>209</v>
      </c>
      <c r="F152" s="20" t="b">
        <v>1</v>
      </c>
      <c r="G152" s="18" t="str">
        <f>IF(Tabela2[[#This Row],[Augin?]]=TRUE,"LIBERADO PARA OBRA","PENDENTE")</f>
        <v>LIBERADO PARA OBRA</v>
      </c>
      <c r="H152" s="21">
        <v>46049</v>
      </c>
      <c r="I152" s="25" t="s">
        <v>20</v>
      </c>
      <c r="J152" s="18" t="s">
        <v>334</v>
      </c>
      <c r="K152" s="19" t="s">
        <v>343</v>
      </c>
      <c r="L152" s="21" t="str">
        <f>IF(Tabela2[[#This Row],[Faltou Disciplina?]]="Não","-","")</f>
        <v/>
      </c>
      <c r="M152" s="21" t="str">
        <f>IF(Tabela2[[#This Row],[Faltou Disciplina?]]="Não","-","")</f>
        <v/>
      </c>
      <c r="N152" s="18" t="str" cm="1">
        <f t="array" ref="N152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53" spans="1:14" x14ac:dyDescent="0.25">
      <c r="A153" s="18" t="s">
        <v>162</v>
      </c>
      <c r="B153" s="18" t="s">
        <v>107</v>
      </c>
      <c r="C153" s="18" t="s">
        <v>163</v>
      </c>
      <c r="D153" s="19" t="s">
        <v>170</v>
      </c>
      <c r="E153" s="18">
        <f t="shared" si="3"/>
        <v>210</v>
      </c>
      <c r="F153" s="20" t="b">
        <v>0</v>
      </c>
      <c r="G153" s="18" t="str">
        <f>IF(Tabela2[[#This Row],[Augin?]]=TRUE,"LIBERADO PARA OBRA","PENDENTE")</f>
        <v>PENDENTE</v>
      </c>
      <c r="H153" s="21"/>
      <c r="I153" s="22"/>
      <c r="J153" s="18"/>
      <c r="K153" s="19"/>
      <c r="L153" s="21" t="str">
        <f>IF(Tabela2[[#This Row],[Faltou Disciplina?]]="Não","-","")</f>
        <v/>
      </c>
      <c r="M153" s="21" t="str">
        <f>IF(Tabela2[[#This Row],[Faltou Disciplina?]]="Não","-","")</f>
        <v/>
      </c>
      <c r="N153" s="18" t="str" cm="1">
        <f t="array" ref="N15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54" spans="1:14" x14ac:dyDescent="0.25">
      <c r="A154" s="18" t="s">
        <v>162</v>
      </c>
      <c r="B154" s="18" t="s">
        <v>107</v>
      </c>
      <c r="C154" s="18" t="s">
        <v>163</v>
      </c>
      <c r="D154" s="19" t="s">
        <v>98</v>
      </c>
      <c r="E154" s="18">
        <f t="shared" si="3"/>
        <v>211</v>
      </c>
      <c r="F154" s="20" t="b">
        <v>0</v>
      </c>
      <c r="G154" s="18" t="str">
        <f>IF(Tabela2[[#This Row],[Augin?]]=TRUE,"LIBERADO PARA OBRA","PENDENTE")</f>
        <v>PENDENTE</v>
      </c>
      <c r="H154" s="21"/>
      <c r="I154" s="22"/>
      <c r="J154" s="18"/>
      <c r="K154" s="19"/>
      <c r="L154" s="21" t="str">
        <f>IF(Tabela2[[#This Row],[Faltou Disciplina?]]="Não","-","")</f>
        <v/>
      </c>
      <c r="M154" s="21" t="str">
        <f>IF(Tabela2[[#This Row],[Faltou Disciplina?]]="Não","-","")</f>
        <v/>
      </c>
      <c r="N154" s="18" t="str" cm="1">
        <f t="array" ref="N15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55" spans="1:14" x14ac:dyDescent="0.25">
      <c r="A155" s="18" t="s">
        <v>162</v>
      </c>
      <c r="B155" s="18" t="s">
        <v>107</v>
      </c>
      <c r="C155" s="18" t="s">
        <v>163</v>
      </c>
      <c r="D155" s="19" t="s">
        <v>171</v>
      </c>
      <c r="E155" s="18">
        <f t="shared" si="3"/>
        <v>212</v>
      </c>
      <c r="F155" s="20" t="b">
        <v>0</v>
      </c>
      <c r="G155" s="18" t="str">
        <f>IF(Tabela2[[#This Row],[Augin?]]=TRUE,"LIBERADO PARA OBRA","PENDENTE")</f>
        <v>PENDENTE</v>
      </c>
      <c r="H155" s="21"/>
      <c r="I155" s="22"/>
      <c r="J155" s="18"/>
      <c r="K155" s="19"/>
      <c r="L155" s="21" t="str">
        <f>IF(Tabela2[[#This Row],[Faltou Disciplina?]]="Não","-","")</f>
        <v/>
      </c>
      <c r="M155" s="21" t="str">
        <f>IF(Tabela2[[#This Row],[Faltou Disciplina?]]="Não","-","")</f>
        <v/>
      </c>
      <c r="N155" s="18" t="str" cm="1">
        <f t="array" ref="N15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56" spans="1:14" x14ac:dyDescent="0.25">
      <c r="A156" s="18" t="s">
        <v>162</v>
      </c>
      <c r="B156" s="18" t="s">
        <v>107</v>
      </c>
      <c r="C156" s="18" t="s">
        <v>163</v>
      </c>
      <c r="D156" s="19" t="s">
        <v>35</v>
      </c>
      <c r="E156" s="18">
        <f t="shared" si="3"/>
        <v>213</v>
      </c>
      <c r="F156" s="20" t="b">
        <v>0</v>
      </c>
      <c r="G156" s="18" t="str">
        <f>IF(Tabela2[[#This Row],[Augin?]]=TRUE,"LIBERADO PARA OBRA","PENDENTE")</f>
        <v>PENDENTE</v>
      </c>
      <c r="H156" s="21"/>
      <c r="I156" s="22"/>
      <c r="J156" s="18"/>
      <c r="K156" s="19"/>
      <c r="L156" s="21" t="str">
        <f>IF(Tabela2[[#This Row],[Faltou Disciplina?]]="Não","-","")</f>
        <v/>
      </c>
      <c r="M156" s="21" t="str">
        <f>IF(Tabela2[[#This Row],[Faltou Disciplina?]]="Não","-","")</f>
        <v/>
      </c>
      <c r="N156" s="18" t="str" cm="1">
        <f t="array" ref="N15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57" spans="1:14" x14ac:dyDescent="0.25">
      <c r="A157" s="18" t="s">
        <v>162</v>
      </c>
      <c r="B157" s="18" t="s">
        <v>107</v>
      </c>
      <c r="C157" s="18" t="s">
        <v>163</v>
      </c>
      <c r="D157" s="19" t="s">
        <v>352</v>
      </c>
      <c r="E157" s="18">
        <f t="shared" si="3"/>
        <v>214</v>
      </c>
      <c r="F157" s="20" t="b">
        <v>0</v>
      </c>
      <c r="G157" s="18" t="str">
        <f>IF(Tabela2[[#This Row],[Augin?]]=TRUE,"LIBERADO PARA OBRA","PENDENTE")</f>
        <v>PENDENTE</v>
      </c>
      <c r="H157" s="21"/>
      <c r="I157" s="22"/>
      <c r="J157" s="18"/>
      <c r="K157" s="19"/>
      <c r="L157" s="21" t="str">
        <f>IF(Tabela2[[#This Row],[Faltou Disciplina?]]="Não","-","")</f>
        <v/>
      </c>
      <c r="M157" s="21" t="str">
        <f>IF(Tabela2[[#This Row],[Faltou Disciplina?]]="Não","-","")</f>
        <v/>
      </c>
      <c r="N157" s="18" t="str" cm="1">
        <f t="array" ref="N15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58" spans="1:14" x14ac:dyDescent="0.25">
      <c r="A158" s="18" t="s">
        <v>162</v>
      </c>
      <c r="B158" s="18" t="s">
        <v>14</v>
      </c>
      <c r="C158" s="18" t="s">
        <v>163</v>
      </c>
      <c r="D158" s="19" t="s">
        <v>172</v>
      </c>
      <c r="E158" s="18">
        <f t="shared" si="3"/>
        <v>215</v>
      </c>
      <c r="F158" s="20" t="b">
        <v>1</v>
      </c>
      <c r="G158" s="18" t="str">
        <f>IF(Tabela2[[#This Row],[Augin?]]=TRUE,"LIBERADO PARA OBRA","PENDENTE")</f>
        <v>LIBERADO PARA OBRA</v>
      </c>
      <c r="H158" s="21"/>
      <c r="I158" s="22"/>
      <c r="J158" s="18"/>
      <c r="K158" s="19"/>
      <c r="L158" s="21" t="str">
        <f>IF(Tabela2[[#This Row],[Faltou Disciplina?]]="Não","-","")</f>
        <v/>
      </c>
      <c r="M158" s="21" t="str">
        <f>IF(Tabela2[[#This Row],[Faltou Disciplina?]]="Não","-","")</f>
        <v/>
      </c>
      <c r="N158" s="18" t="str" cm="1">
        <f t="array" ref="N15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59" spans="1:14" x14ac:dyDescent="0.25">
      <c r="A159" s="18" t="s">
        <v>162</v>
      </c>
      <c r="B159" s="18" t="s">
        <v>14</v>
      </c>
      <c r="C159" s="18" t="s">
        <v>163</v>
      </c>
      <c r="D159" s="19" t="s">
        <v>173</v>
      </c>
      <c r="E159" s="18">
        <f t="shared" si="3"/>
        <v>216</v>
      </c>
      <c r="F159" s="20" t="b">
        <v>0</v>
      </c>
      <c r="G159" s="18" t="str">
        <f>IF(Tabela2[[#This Row],[Augin?]]=TRUE,"LIBERADO PARA OBRA","PENDENTE")</f>
        <v>PENDENTE</v>
      </c>
      <c r="H159" s="21"/>
      <c r="I159" s="22"/>
      <c r="J159" s="18"/>
      <c r="K159" s="19"/>
      <c r="L159" s="21" t="str">
        <f>IF(Tabela2[[#This Row],[Faltou Disciplina?]]="Não","-","")</f>
        <v/>
      </c>
      <c r="M159" s="21" t="str">
        <f>IF(Tabela2[[#This Row],[Faltou Disciplina?]]="Não","-","")</f>
        <v/>
      </c>
      <c r="N159" s="18" t="str" cm="1">
        <f t="array" ref="N15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0" spans="1:14" x14ac:dyDescent="0.25">
      <c r="A160" s="18" t="s">
        <v>162</v>
      </c>
      <c r="B160" s="18" t="s">
        <v>14</v>
      </c>
      <c r="C160" s="18" t="s">
        <v>163</v>
      </c>
      <c r="D160" s="19" t="s">
        <v>174</v>
      </c>
      <c r="E160" s="18">
        <f t="shared" si="3"/>
        <v>217</v>
      </c>
      <c r="F160" s="20" t="b">
        <v>0</v>
      </c>
      <c r="G160" s="18" t="str">
        <f>IF(Tabela2[[#This Row],[Augin?]]=TRUE,"LIBERADO PARA OBRA","PENDENTE")</f>
        <v>PENDENTE</v>
      </c>
      <c r="H160" s="21"/>
      <c r="I160" s="22"/>
      <c r="J160" s="18"/>
      <c r="K160" s="19"/>
      <c r="L160" s="21" t="str">
        <f>IF(Tabela2[[#This Row],[Faltou Disciplina?]]="Não","-","")</f>
        <v/>
      </c>
      <c r="M160" s="21" t="str">
        <f>IF(Tabela2[[#This Row],[Faltou Disciplina?]]="Não","-","")</f>
        <v/>
      </c>
      <c r="N160" s="18" t="str" cm="1">
        <f t="array" ref="N16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1" spans="1:14" x14ac:dyDescent="0.25">
      <c r="A161" s="18" t="s">
        <v>162</v>
      </c>
      <c r="B161" s="18" t="s">
        <v>14</v>
      </c>
      <c r="C161" s="18" t="s">
        <v>163</v>
      </c>
      <c r="D161" s="19" t="s">
        <v>175</v>
      </c>
      <c r="E161" s="18">
        <f t="shared" si="3"/>
        <v>218</v>
      </c>
      <c r="F161" s="20" t="b">
        <v>0</v>
      </c>
      <c r="G161" s="18" t="str">
        <f>IF(Tabela2[[#This Row],[Augin?]]=TRUE,"LIBERADO PARA OBRA","PENDENTE")</f>
        <v>PENDENTE</v>
      </c>
      <c r="H161" s="21"/>
      <c r="I161" s="22"/>
      <c r="J161" s="18"/>
      <c r="K161" s="19"/>
      <c r="L161" s="21" t="str">
        <f>IF(Tabela2[[#This Row],[Faltou Disciplina?]]="Não","-","")</f>
        <v/>
      </c>
      <c r="M161" s="21" t="str">
        <f>IF(Tabela2[[#This Row],[Faltou Disciplina?]]="Não","-","")</f>
        <v/>
      </c>
      <c r="N161" s="18" t="str" cm="1">
        <f t="array" ref="N16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2" spans="1:14" x14ac:dyDescent="0.25">
      <c r="A162" s="18" t="s">
        <v>162</v>
      </c>
      <c r="B162" s="18" t="s">
        <v>14</v>
      </c>
      <c r="C162" s="18" t="s">
        <v>163</v>
      </c>
      <c r="D162" s="19" t="s">
        <v>176</v>
      </c>
      <c r="E162" s="18">
        <f t="shared" ref="E162:E198" si="4">E161+1</f>
        <v>219</v>
      </c>
      <c r="F162" s="20" t="b">
        <v>0</v>
      </c>
      <c r="G162" s="18" t="str">
        <f>IF(Tabela2[[#This Row],[Augin?]]=TRUE,"LIBERADO PARA OBRA","PENDENTE")</f>
        <v>PENDENTE</v>
      </c>
      <c r="H162" s="21"/>
      <c r="I162" s="22"/>
      <c r="J162" s="18"/>
      <c r="K162" s="19"/>
      <c r="L162" s="21" t="str">
        <f>IF(Tabela2[[#This Row],[Faltou Disciplina?]]="Não","-","")</f>
        <v/>
      </c>
      <c r="M162" s="21" t="str">
        <f>IF(Tabela2[[#This Row],[Faltou Disciplina?]]="Não","-","")</f>
        <v/>
      </c>
      <c r="N162" s="18" t="str" cm="1">
        <f t="array" ref="N16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3" spans="1:14" x14ac:dyDescent="0.25">
      <c r="A163" s="18" t="s">
        <v>162</v>
      </c>
      <c r="B163" s="18" t="s">
        <v>14</v>
      </c>
      <c r="C163" s="18" t="s">
        <v>163</v>
      </c>
      <c r="D163" s="19" t="s">
        <v>177</v>
      </c>
      <c r="E163" s="18">
        <f t="shared" si="4"/>
        <v>220</v>
      </c>
      <c r="F163" s="20" t="b">
        <v>0</v>
      </c>
      <c r="G163" s="18" t="str">
        <f>IF(Tabela2[[#This Row],[Augin?]]=TRUE,"LIBERADO PARA OBRA","PENDENTE")</f>
        <v>PENDENTE</v>
      </c>
      <c r="H163" s="21"/>
      <c r="I163" s="22"/>
      <c r="J163" s="18"/>
      <c r="K163" s="19"/>
      <c r="L163" s="21" t="str">
        <f>IF(Tabela2[[#This Row],[Faltou Disciplina?]]="Não","-","")</f>
        <v/>
      </c>
      <c r="M163" s="21" t="str">
        <f>IF(Tabela2[[#This Row],[Faltou Disciplina?]]="Não","-","")</f>
        <v/>
      </c>
      <c r="N163" s="18" t="str" cm="1">
        <f t="array" ref="N16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4" spans="1:14" x14ac:dyDescent="0.25">
      <c r="A164" s="18" t="s">
        <v>162</v>
      </c>
      <c r="B164" s="18" t="s">
        <v>14</v>
      </c>
      <c r="C164" s="18" t="s">
        <v>163</v>
      </c>
      <c r="D164" s="19" t="s">
        <v>178</v>
      </c>
      <c r="E164" s="18">
        <f t="shared" si="4"/>
        <v>221</v>
      </c>
      <c r="F164" s="20" t="b">
        <v>0</v>
      </c>
      <c r="G164" s="18" t="str">
        <f>IF(Tabela2[[#This Row],[Augin?]]=TRUE,"LIBERADO PARA OBRA","PENDENTE")</f>
        <v>PENDENTE</v>
      </c>
      <c r="H164" s="21"/>
      <c r="I164" s="22"/>
      <c r="J164" s="18"/>
      <c r="K164" s="19"/>
      <c r="L164" s="21" t="str">
        <f>IF(Tabela2[[#This Row],[Faltou Disciplina?]]="Não","-","")</f>
        <v/>
      </c>
      <c r="M164" s="21" t="str">
        <f>IF(Tabela2[[#This Row],[Faltou Disciplina?]]="Não","-","")</f>
        <v/>
      </c>
      <c r="N164" s="18" t="str" cm="1">
        <f t="array" ref="N16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5" spans="1:14" x14ac:dyDescent="0.25">
      <c r="A165" s="18" t="s">
        <v>162</v>
      </c>
      <c r="B165" s="18" t="s">
        <v>18</v>
      </c>
      <c r="C165" s="18" t="s">
        <v>163</v>
      </c>
      <c r="D165" s="19" t="s">
        <v>179</v>
      </c>
      <c r="E165" s="18">
        <f t="shared" si="4"/>
        <v>222</v>
      </c>
      <c r="F165" s="20" t="b">
        <v>0</v>
      </c>
      <c r="G165" s="18" t="str">
        <f>IF(Tabela2[[#This Row],[Augin?]]=TRUE,"LIBERADO PARA OBRA","PENDENTE")</f>
        <v>PENDENTE</v>
      </c>
      <c r="H165" s="21"/>
      <c r="I165" s="22"/>
      <c r="J165" s="18"/>
      <c r="K165" s="19"/>
      <c r="L165" s="21" t="str">
        <f>IF(Tabela2[[#This Row],[Faltou Disciplina?]]="Não","-","")</f>
        <v/>
      </c>
      <c r="M165" s="21" t="str">
        <f>IF(Tabela2[[#This Row],[Faltou Disciplina?]]="Não","-","")</f>
        <v/>
      </c>
      <c r="N165" s="18" t="str" cm="1">
        <f t="array" ref="N16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6" spans="1:14" x14ac:dyDescent="0.25">
      <c r="A166" s="18" t="s">
        <v>162</v>
      </c>
      <c r="B166" s="18" t="s">
        <v>18</v>
      </c>
      <c r="C166" s="18" t="s">
        <v>163</v>
      </c>
      <c r="D166" s="19" t="s">
        <v>180</v>
      </c>
      <c r="E166" s="18">
        <f t="shared" si="4"/>
        <v>223</v>
      </c>
      <c r="F166" s="20" t="b">
        <v>0</v>
      </c>
      <c r="G166" s="18" t="str">
        <f>IF(Tabela2[[#This Row],[Augin?]]=TRUE,"LIBERADO PARA OBRA","PENDENTE")</f>
        <v>PENDENTE</v>
      </c>
      <c r="H166" s="21"/>
      <c r="I166" s="22"/>
      <c r="J166" s="18"/>
      <c r="K166" s="19"/>
      <c r="L166" s="21" t="str">
        <f>IF(Tabela2[[#This Row],[Faltou Disciplina?]]="Não","-","")</f>
        <v/>
      </c>
      <c r="M166" s="21" t="str">
        <f>IF(Tabela2[[#This Row],[Faltou Disciplina?]]="Não","-","")</f>
        <v/>
      </c>
      <c r="N166" s="18" t="str" cm="1">
        <f t="array" ref="N16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7" spans="1:14" x14ac:dyDescent="0.25">
      <c r="A167" s="18" t="s">
        <v>162</v>
      </c>
      <c r="B167" s="18" t="s">
        <v>18</v>
      </c>
      <c r="C167" s="18" t="s">
        <v>163</v>
      </c>
      <c r="D167" s="19" t="s">
        <v>181</v>
      </c>
      <c r="E167" s="18">
        <f t="shared" si="4"/>
        <v>224</v>
      </c>
      <c r="F167" s="20" t="b">
        <v>0</v>
      </c>
      <c r="G167" s="18" t="str">
        <f>IF(Tabela2[[#This Row],[Augin?]]=TRUE,"LIBERADO PARA OBRA","PENDENTE")</f>
        <v>PENDENTE</v>
      </c>
      <c r="H167" s="21"/>
      <c r="I167" s="22"/>
      <c r="J167" s="18"/>
      <c r="K167" s="19"/>
      <c r="L167" s="21" t="str">
        <f>IF(Tabela2[[#This Row],[Faltou Disciplina?]]="Não","-","")</f>
        <v/>
      </c>
      <c r="M167" s="21" t="str">
        <f>IF(Tabela2[[#This Row],[Faltou Disciplina?]]="Não","-","")</f>
        <v/>
      </c>
      <c r="N167" s="18" t="str" cm="1">
        <f t="array" ref="N16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8" spans="1:14" x14ac:dyDescent="0.25">
      <c r="A168" s="18" t="s">
        <v>162</v>
      </c>
      <c r="B168" s="18" t="s">
        <v>18</v>
      </c>
      <c r="C168" s="18" t="s">
        <v>163</v>
      </c>
      <c r="D168" s="19" t="s">
        <v>182</v>
      </c>
      <c r="E168" s="18">
        <f t="shared" si="4"/>
        <v>225</v>
      </c>
      <c r="F168" s="20" t="b">
        <v>0</v>
      </c>
      <c r="G168" s="18" t="str">
        <f>IF(Tabela2[[#This Row],[Augin?]]=TRUE,"LIBERADO PARA OBRA","PENDENTE")</f>
        <v>PENDENTE</v>
      </c>
      <c r="H168" s="21"/>
      <c r="I168" s="22"/>
      <c r="J168" s="18"/>
      <c r="K168" s="19"/>
      <c r="L168" s="21" t="str">
        <f>IF(Tabela2[[#This Row],[Faltou Disciplina?]]="Não","-","")</f>
        <v/>
      </c>
      <c r="M168" s="21" t="str">
        <f>IF(Tabela2[[#This Row],[Faltou Disciplina?]]="Não","-","")</f>
        <v/>
      </c>
      <c r="N168" s="18" t="str" cm="1">
        <f t="array" ref="N16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69" spans="1:14" x14ac:dyDescent="0.25">
      <c r="A169" s="18" t="s">
        <v>162</v>
      </c>
      <c r="B169" s="18" t="s">
        <v>18</v>
      </c>
      <c r="C169" s="18" t="s">
        <v>163</v>
      </c>
      <c r="D169" s="19" t="s">
        <v>178</v>
      </c>
      <c r="E169" s="18">
        <f t="shared" si="4"/>
        <v>226</v>
      </c>
      <c r="F169" s="20" t="b">
        <v>0</v>
      </c>
      <c r="G169" s="18" t="str">
        <f>IF(Tabela2[[#This Row],[Augin?]]=TRUE,"LIBERADO PARA OBRA","PENDENTE")</f>
        <v>PENDENTE</v>
      </c>
      <c r="H169" s="21"/>
      <c r="I169" s="22"/>
      <c r="J169" s="18"/>
      <c r="K169" s="19"/>
      <c r="L169" s="21" t="str">
        <f>IF(Tabela2[[#This Row],[Faltou Disciplina?]]="Não","-","")</f>
        <v/>
      </c>
      <c r="M169" s="21" t="str">
        <f>IF(Tabela2[[#This Row],[Faltou Disciplina?]]="Não","-","")</f>
        <v/>
      </c>
      <c r="N169" s="18" t="str" cm="1">
        <f t="array" ref="N16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70" spans="1:14" x14ac:dyDescent="0.25">
      <c r="A170" s="18" t="s">
        <v>183</v>
      </c>
      <c r="B170" s="18" t="s">
        <v>107</v>
      </c>
      <c r="C170" s="18" t="s">
        <v>163</v>
      </c>
      <c r="D170" s="19" t="s">
        <v>184</v>
      </c>
      <c r="E170" s="18">
        <v>301</v>
      </c>
      <c r="F170" s="20" t="b">
        <v>1</v>
      </c>
      <c r="G170" s="18" t="str">
        <f>IF(Tabela2[[#This Row],[Augin?]]=TRUE,"LIBERADO PARA OBRA","PENDENTE")</f>
        <v>LIBERADO PARA OBRA</v>
      </c>
      <c r="H170" s="21"/>
      <c r="I170" s="22"/>
      <c r="J170" s="18"/>
      <c r="K170" s="19"/>
      <c r="L170" s="21" t="str">
        <f>IF(Tabela2[[#This Row],[Faltou Disciplina?]]="Não","-","")</f>
        <v/>
      </c>
      <c r="M170" s="21" t="str">
        <f>IF(Tabela2[[#This Row],[Faltou Disciplina?]]="Não","-","")</f>
        <v/>
      </c>
      <c r="N170" s="18" t="str" cm="1">
        <f t="array" ref="N17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71" spans="1:14" x14ac:dyDescent="0.25">
      <c r="A171" s="18" t="s">
        <v>183</v>
      </c>
      <c r="B171" s="18" t="s">
        <v>107</v>
      </c>
      <c r="C171" s="18" t="s">
        <v>163</v>
      </c>
      <c r="D171" s="19" t="s">
        <v>185</v>
      </c>
      <c r="E171" s="18">
        <f t="shared" si="4"/>
        <v>302</v>
      </c>
      <c r="F171" s="20" t="b">
        <v>1</v>
      </c>
      <c r="G171" s="18" t="str">
        <f>IF(Tabela2[[#This Row],[Augin?]]=TRUE,"LIBERADO PARA OBRA","PENDENTE")</f>
        <v>LIBERADO PARA OBRA</v>
      </c>
      <c r="H171" s="21"/>
      <c r="I171" s="22"/>
      <c r="J171" s="18"/>
      <c r="K171" s="19"/>
      <c r="L171" s="21" t="str">
        <f>IF(Tabela2[[#This Row],[Faltou Disciplina?]]="Não","-","")</f>
        <v/>
      </c>
      <c r="M171" s="21" t="str">
        <f>IF(Tabela2[[#This Row],[Faltou Disciplina?]]="Não","-","")</f>
        <v/>
      </c>
      <c r="N171" s="18" t="str" cm="1">
        <f t="array" ref="N17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72" spans="1:14" x14ac:dyDescent="0.25">
      <c r="A172" s="18" t="s">
        <v>183</v>
      </c>
      <c r="B172" s="18" t="s">
        <v>107</v>
      </c>
      <c r="C172" s="18" t="s">
        <v>163</v>
      </c>
      <c r="D172" s="19" t="s">
        <v>186</v>
      </c>
      <c r="E172" s="18">
        <f t="shared" si="4"/>
        <v>303</v>
      </c>
      <c r="F172" s="20" t="b">
        <v>1</v>
      </c>
      <c r="G172" s="18" t="str">
        <f>IF(Tabela2[[#This Row],[Augin?]]=TRUE,"LIBERADO PARA OBRA","PENDENTE")</f>
        <v>LIBERADO PARA OBRA</v>
      </c>
      <c r="H172" s="21"/>
      <c r="I172" s="22"/>
      <c r="J172" s="18"/>
      <c r="K172" s="19"/>
      <c r="L172" s="21" t="str">
        <f>IF(Tabela2[[#This Row],[Faltou Disciplina?]]="Não","-","")</f>
        <v/>
      </c>
      <c r="M172" s="21" t="str">
        <f>IF(Tabela2[[#This Row],[Faltou Disciplina?]]="Não","-","")</f>
        <v/>
      </c>
      <c r="N172" s="18" t="str" cm="1">
        <f t="array" ref="N17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73" spans="1:14" x14ac:dyDescent="0.25">
      <c r="A173" s="18" t="s">
        <v>183</v>
      </c>
      <c r="B173" s="18" t="s">
        <v>107</v>
      </c>
      <c r="C173" s="18" t="s">
        <v>163</v>
      </c>
      <c r="D173" s="19" t="s">
        <v>187</v>
      </c>
      <c r="E173" s="18">
        <f t="shared" si="4"/>
        <v>304</v>
      </c>
      <c r="F173" s="20" t="b">
        <v>1</v>
      </c>
      <c r="G173" s="18" t="str">
        <f>IF(Tabela2[[#This Row],[Augin?]]=TRUE,"LIBERADO PARA OBRA","PENDENTE")</f>
        <v>LIBERADO PARA OBRA</v>
      </c>
      <c r="H173" s="21"/>
      <c r="I173" s="22"/>
      <c r="J173" s="18"/>
      <c r="K173" s="19"/>
      <c r="L173" s="21" t="str">
        <f>IF(Tabela2[[#This Row],[Faltou Disciplina?]]="Não","-","")</f>
        <v/>
      </c>
      <c r="M173" s="21" t="str">
        <f>IF(Tabela2[[#This Row],[Faltou Disciplina?]]="Não","-","")</f>
        <v/>
      </c>
      <c r="N173" s="18" t="str" cm="1">
        <f t="array" ref="N17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74" spans="1:14" x14ac:dyDescent="0.25">
      <c r="A174" s="18" t="s">
        <v>183</v>
      </c>
      <c r="B174" s="18" t="s">
        <v>107</v>
      </c>
      <c r="C174" s="18" t="s">
        <v>163</v>
      </c>
      <c r="D174" s="19" t="s">
        <v>188</v>
      </c>
      <c r="E174" s="18">
        <f t="shared" si="4"/>
        <v>305</v>
      </c>
      <c r="F174" s="20" t="b">
        <v>1</v>
      </c>
      <c r="G174" s="18" t="str">
        <f>IF(Tabela2[[#This Row],[Augin?]]=TRUE,"LIBERADO PARA OBRA","PENDENTE")</f>
        <v>LIBERADO PARA OBRA</v>
      </c>
      <c r="H174" s="21">
        <v>46045</v>
      </c>
      <c r="I174" s="22" t="s">
        <v>20</v>
      </c>
      <c r="J174" s="18" t="s">
        <v>334</v>
      </c>
      <c r="K174" s="19" t="s">
        <v>341</v>
      </c>
      <c r="L174" s="21" t="str">
        <f>IF(Tabela2[[#This Row],[Faltou Disciplina?]]="Não","-","")</f>
        <v/>
      </c>
      <c r="M174" s="21" t="str">
        <f>IF(Tabela2[[#This Row],[Faltou Disciplina?]]="Não","-","")</f>
        <v/>
      </c>
      <c r="N174" s="18" t="str" cm="1">
        <f t="array" ref="N174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75" spans="1:14" x14ac:dyDescent="0.25">
      <c r="A175" s="18" t="s">
        <v>183</v>
      </c>
      <c r="B175" s="18" t="s">
        <v>107</v>
      </c>
      <c r="C175" s="18" t="s">
        <v>163</v>
      </c>
      <c r="D175" s="19" t="s">
        <v>189</v>
      </c>
      <c r="E175" s="18">
        <f t="shared" si="4"/>
        <v>306</v>
      </c>
      <c r="F175" s="20" t="b">
        <v>1</v>
      </c>
      <c r="G175" s="18" t="str">
        <f>IF(Tabela2[[#This Row],[Augin?]]=TRUE,"LIBERADO PARA OBRA","PENDENTE")</f>
        <v>LIBERADO PARA OBRA</v>
      </c>
      <c r="H175" s="21"/>
      <c r="I175" s="22"/>
      <c r="J175" s="18"/>
      <c r="K175" s="19"/>
      <c r="L175" s="21" t="str">
        <f>IF(Tabela2[[#This Row],[Faltou Disciplina?]]="Não","-","")</f>
        <v/>
      </c>
      <c r="M175" s="21" t="str">
        <f>IF(Tabela2[[#This Row],[Faltou Disciplina?]]="Não","-","")</f>
        <v/>
      </c>
      <c r="N175" s="18" t="str" cm="1">
        <f t="array" ref="N17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76" spans="1:14" x14ac:dyDescent="0.25">
      <c r="A176" s="18" t="s">
        <v>183</v>
      </c>
      <c r="B176" s="18" t="s">
        <v>107</v>
      </c>
      <c r="C176" s="18" t="s">
        <v>163</v>
      </c>
      <c r="D176" s="19" t="s">
        <v>190</v>
      </c>
      <c r="E176" s="18">
        <f t="shared" si="4"/>
        <v>307</v>
      </c>
      <c r="F176" s="20" t="b">
        <v>1</v>
      </c>
      <c r="G176" s="18" t="str">
        <f>IF(Tabela2[[#This Row],[Augin?]]=TRUE,"LIBERADO PARA OBRA","PENDENTE")</f>
        <v>LIBERADO PARA OBRA</v>
      </c>
      <c r="H176" s="21"/>
      <c r="I176" s="22"/>
      <c r="J176" s="18"/>
      <c r="K176" s="19"/>
      <c r="L176" s="21" t="str">
        <f>IF(Tabela2[[#This Row],[Faltou Disciplina?]]="Não","-","")</f>
        <v/>
      </c>
      <c r="M176" s="21" t="str">
        <f>IF(Tabela2[[#This Row],[Faltou Disciplina?]]="Não","-","")</f>
        <v/>
      </c>
      <c r="N176" s="18" t="str" cm="1">
        <f t="array" ref="N17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77" spans="1:14" x14ac:dyDescent="0.25">
      <c r="A177" s="18" t="s">
        <v>183</v>
      </c>
      <c r="B177" s="18" t="s">
        <v>107</v>
      </c>
      <c r="C177" s="18" t="s">
        <v>163</v>
      </c>
      <c r="D177" s="19" t="s">
        <v>191</v>
      </c>
      <c r="E177" s="18">
        <f t="shared" si="4"/>
        <v>308</v>
      </c>
      <c r="F177" s="20" t="b">
        <v>1</v>
      </c>
      <c r="G177" s="18" t="str">
        <f>IF(Tabela2[[#This Row],[Augin?]]=TRUE,"LIBERADO PARA OBRA","PENDENTE")</f>
        <v>LIBERADO PARA OBRA</v>
      </c>
      <c r="H177" s="21">
        <v>46045</v>
      </c>
      <c r="I177" s="22" t="s">
        <v>20</v>
      </c>
      <c r="J177" s="18" t="s">
        <v>334</v>
      </c>
      <c r="K177" s="19" t="s">
        <v>341</v>
      </c>
      <c r="L177" s="21" t="str">
        <f>IF(Tabela2[[#This Row],[Faltou Disciplina?]]="Não","-","")</f>
        <v/>
      </c>
      <c r="M177" s="21" t="str">
        <f>IF(Tabela2[[#This Row],[Faltou Disciplina?]]="Não","-","")</f>
        <v/>
      </c>
      <c r="N177" s="18" t="str" cm="1">
        <f t="array" ref="N177">_xlfn.IFS(Tabela2[[#This Row],[Faltou Disciplina?]]="Sim","Revisar",Tabela2[[#This Row],[Faltou Disciplina?]]="Não","Verificada",Tabela2[[#This Row],[Faltou Disciplina?]]="","Pendente",Tabela2[[#This Row],[statusRA]]="PENDENTE","Pendente")</f>
        <v>Revisar</v>
      </c>
    </row>
    <row r="178" spans="1:14" x14ac:dyDescent="0.25">
      <c r="A178" s="18" t="s">
        <v>183</v>
      </c>
      <c r="B178" s="18" t="s">
        <v>107</v>
      </c>
      <c r="C178" s="18" t="s">
        <v>163</v>
      </c>
      <c r="D178" s="19" t="s">
        <v>192</v>
      </c>
      <c r="E178" s="18">
        <f t="shared" si="4"/>
        <v>309</v>
      </c>
      <c r="F178" s="20" t="b">
        <v>1</v>
      </c>
      <c r="G178" s="18" t="str">
        <f>IF(Tabela2[[#This Row],[Augin?]]=TRUE,"LIBERADO PARA OBRA","PENDENTE")</f>
        <v>LIBERADO PARA OBRA</v>
      </c>
      <c r="H178" s="21"/>
      <c r="I178" s="22"/>
      <c r="J178" s="18"/>
      <c r="K178" s="19"/>
      <c r="L178" s="21" t="str">
        <f>IF(Tabela2[[#This Row],[Faltou Disciplina?]]="Não","-","")</f>
        <v/>
      </c>
      <c r="M178" s="21" t="str">
        <f>IF(Tabela2[[#This Row],[Faltou Disciplina?]]="Não","-","")</f>
        <v/>
      </c>
      <c r="N178" s="18" t="str" cm="1">
        <f t="array" ref="N17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79" spans="1:14" x14ac:dyDescent="0.25">
      <c r="A179" s="18" t="s">
        <v>193</v>
      </c>
      <c r="B179" s="18" t="s">
        <v>107</v>
      </c>
      <c r="C179" s="18" t="s">
        <v>163</v>
      </c>
      <c r="D179" s="19" t="s">
        <v>194</v>
      </c>
      <c r="E179" s="18">
        <v>401</v>
      </c>
      <c r="F179" s="20" t="b">
        <v>0</v>
      </c>
      <c r="G179" s="18" t="str">
        <f>IF(Tabela2[[#This Row],[Augin?]]=TRUE,"LIBERADO PARA OBRA","PENDENTE")</f>
        <v>PENDENTE</v>
      </c>
      <c r="H179" s="21"/>
      <c r="I179" s="22"/>
      <c r="J179" s="18"/>
      <c r="K179" s="19"/>
      <c r="L179" s="21" t="str">
        <f>IF(Tabela2[[#This Row],[Faltou Disciplina?]]="Não","-","")</f>
        <v/>
      </c>
      <c r="M179" s="21" t="str">
        <f>IF(Tabela2[[#This Row],[Faltou Disciplina?]]="Não","-","")</f>
        <v/>
      </c>
      <c r="N179" s="18" t="str" cm="1">
        <f t="array" ref="N17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0" spans="1:14" x14ac:dyDescent="0.25">
      <c r="A180" s="18" t="s">
        <v>193</v>
      </c>
      <c r="B180" s="18" t="s">
        <v>107</v>
      </c>
      <c r="C180" s="18" t="s">
        <v>163</v>
      </c>
      <c r="D180" s="19" t="s">
        <v>195</v>
      </c>
      <c r="E180" s="18">
        <f t="shared" si="4"/>
        <v>402</v>
      </c>
      <c r="F180" s="20" t="b">
        <v>0</v>
      </c>
      <c r="G180" s="18" t="str">
        <f>IF(Tabela2[[#This Row],[Augin?]]=TRUE,"LIBERADO PARA OBRA","PENDENTE")</f>
        <v>PENDENTE</v>
      </c>
      <c r="H180" s="21"/>
      <c r="I180" s="22"/>
      <c r="J180" s="18"/>
      <c r="K180" s="19"/>
      <c r="L180" s="21" t="str">
        <f>IF(Tabela2[[#This Row],[Faltou Disciplina?]]="Não","-","")</f>
        <v/>
      </c>
      <c r="M180" s="21" t="str">
        <f>IF(Tabela2[[#This Row],[Faltou Disciplina?]]="Não","-","")</f>
        <v/>
      </c>
      <c r="N180" s="18" t="str" cm="1">
        <f t="array" ref="N18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1" spans="1:14" x14ac:dyDescent="0.25">
      <c r="A181" s="18" t="s">
        <v>193</v>
      </c>
      <c r="B181" s="18" t="s">
        <v>107</v>
      </c>
      <c r="C181" s="18" t="s">
        <v>163</v>
      </c>
      <c r="D181" s="19" t="s">
        <v>196</v>
      </c>
      <c r="E181" s="18">
        <f t="shared" si="4"/>
        <v>403</v>
      </c>
      <c r="F181" s="20" t="b">
        <v>0</v>
      </c>
      <c r="G181" s="18" t="str">
        <f>IF(Tabela2[[#This Row],[Augin?]]=TRUE,"LIBERADO PARA OBRA","PENDENTE")</f>
        <v>PENDENTE</v>
      </c>
      <c r="H181" s="21"/>
      <c r="I181" s="22"/>
      <c r="J181" s="18"/>
      <c r="K181" s="19"/>
      <c r="L181" s="21" t="str">
        <f>IF(Tabela2[[#This Row],[Faltou Disciplina?]]="Não","-","")</f>
        <v/>
      </c>
      <c r="M181" s="21" t="str">
        <f>IF(Tabela2[[#This Row],[Faltou Disciplina?]]="Não","-","")</f>
        <v/>
      </c>
      <c r="N181" s="18" t="str" cm="1">
        <f t="array" ref="N18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2" spans="1:14" x14ac:dyDescent="0.25">
      <c r="A182" s="18" t="s">
        <v>193</v>
      </c>
      <c r="B182" s="18" t="s">
        <v>107</v>
      </c>
      <c r="C182" s="18" t="s">
        <v>163</v>
      </c>
      <c r="D182" s="19" t="s">
        <v>197</v>
      </c>
      <c r="E182" s="18">
        <f t="shared" si="4"/>
        <v>404</v>
      </c>
      <c r="F182" s="20" t="b">
        <v>0</v>
      </c>
      <c r="G182" s="18" t="str">
        <f>IF(Tabela2[[#This Row],[Augin?]]=TRUE,"LIBERADO PARA OBRA","PENDENTE")</f>
        <v>PENDENTE</v>
      </c>
      <c r="H182" s="21"/>
      <c r="I182" s="22"/>
      <c r="J182" s="18"/>
      <c r="K182" s="19"/>
      <c r="L182" s="21" t="str">
        <f>IF(Tabela2[[#This Row],[Faltou Disciplina?]]="Não","-","")</f>
        <v/>
      </c>
      <c r="M182" s="21" t="str">
        <f>IF(Tabela2[[#This Row],[Faltou Disciplina?]]="Não","-","")</f>
        <v/>
      </c>
      <c r="N182" s="18" t="str" cm="1">
        <f t="array" ref="N18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3" spans="1:14" x14ac:dyDescent="0.25">
      <c r="A183" s="18" t="s">
        <v>193</v>
      </c>
      <c r="B183" s="18" t="s">
        <v>107</v>
      </c>
      <c r="C183" s="18" t="s">
        <v>163</v>
      </c>
      <c r="D183" s="19" t="s">
        <v>198</v>
      </c>
      <c r="E183" s="18">
        <f t="shared" si="4"/>
        <v>405</v>
      </c>
      <c r="F183" s="20" t="b">
        <v>0</v>
      </c>
      <c r="G183" s="18" t="str">
        <f>IF(Tabela2[[#This Row],[Augin?]]=TRUE,"LIBERADO PARA OBRA","PENDENTE")</f>
        <v>PENDENTE</v>
      </c>
      <c r="H183" s="21"/>
      <c r="I183" s="22"/>
      <c r="J183" s="18"/>
      <c r="K183" s="19"/>
      <c r="L183" s="21" t="str">
        <f>IF(Tabela2[[#This Row],[Faltou Disciplina?]]="Não","-","")</f>
        <v/>
      </c>
      <c r="M183" s="21" t="str">
        <f>IF(Tabela2[[#This Row],[Faltou Disciplina?]]="Não","-","")</f>
        <v/>
      </c>
      <c r="N183" s="18" t="str" cm="1">
        <f t="array" ref="N18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4" spans="1:14" x14ac:dyDescent="0.25">
      <c r="A184" s="18" t="s">
        <v>322</v>
      </c>
      <c r="B184" s="18" t="s">
        <v>107</v>
      </c>
      <c r="C184" s="18" t="s">
        <v>163</v>
      </c>
      <c r="D184" s="19" t="s">
        <v>323</v>
      </c>
      <c r="E184" s="18">
        <v>501</v>
      </c>
      <c r="F184" s="20" t="b">
        <v>0</v>
      </c>
      <c r="G184" s="18" t="str">
        <f>IF(Tabela2[[#This Row],[Augin?]]=TRUE,"LIBERADO PARA OBRA","PENDENTE")</f>
        <v>PENDENTE</v>
      </c>
      <c r="H184" s="21"/>
      <c r="I184" s="22"/>
      <c r="J184" s="18"/>
      <c r="K184" s="19"/>
      <c r="L184" s="21" t="str">
        <f>IF(Tabela2[[#This Row],[Faltou Disciplina?]]="Não","-","")</f>
        <v/>
      </c>
      <c r="M184" s="21" t="str">
        <f>IF(Tabela2[[#This Row],[Faltou Disciplina?]]="Não","-","")</f>
        <v/>
      </c>
      <c r="N184" s="18" t="str" cm="1">
        <f t="array" ref="N18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5" spans="1:14" x14ac:dyDescent="0.25">
      <c r="A185" s="18" t="s">
        <v>322</v>
      </c>
      <c r="B185" s="18" t="s">
        <v>107</v>
      </c>
      <c r="C185" s="18" t="s">
        <v>163</v>
      </c>
      <c r="D185" s="19" t="s">
        <v>324</v>
      </c>
      <c r="E185" s="18">
        <f t="shared" si="4"/>
        <v>502</v>
      </c>
      <c r="F185" s="20" t="b">
        <v>0</v>
      </c>
      <c r="G185" s="18" t="str">
        <f>IF(Tabela2[[#This Row],[Augin?]]=TRUE,"LIBERADO PARA OBRA","PENDENTE")</f>
        <v>PENDENTE</v>
      </c>
      <c r="H185" s="21"/>
      <c r="I185" s="22"/>
      <c r="J185" s="18"/>
      <c r="K185" s="19"/>
      <c r="L185" s="21" t="str">
        <f>IF(Tabela2[[#This Row],[Faltou Disciplina?]]="Não","-","")</f>
        <v/>
      </c>
      <c r="M185" s="21" t="str">
        <f>IF(Tabela2[[#This Row],[Faltou Disciplina?]]="Não","-","")</f>
        <v/>
      </c>
      <c r="N185" s="18" t="str" cm="1">
        <f t="array" ref="N18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6" spans="1:14" x14ac:dyDescent="0.25">
      <c r="A186" s="18" t="s">
        <v>322</v>
      </c>
      <c r="B186" s="18" t="s">
        <v>107</v>
      </c>
      <c r="C186" s="18" t="s">
        <v>163</v>
      </c>
      <c r="D186" s="19" t="s">
        <v>325</v>
      </c>
      <c r="E186" s="18">
        <f t="shared" si="4"/>
        <v>503</v>
      </c>
      <c r="F186" s="20" t="b">
        <v>0</v>
      </c>
      <c r="G186" s="18" t="str">
        <f>IF(Tabela2[[#This Row],[Augin?]]=TRUE,"LIBERADO PARA OBRA","PENDENTE")</f>
        <v>PENDENTE</v>
      </c>
      <c r="H186" s="21"/>
      <c r="I186" s="22"/>
      <c r="J186" s="18"/>
      <c r="K186" s="19"/>
      <c r="L186" s="21" t="str">
        <f>IF(Tabela2[[#This Row],[Faltou Disciplina?]]="Não","-","")</f>
        <v/>
      </c>
      <c r="M186" s="21" t="str">
        <f>IF(Tabela2[[#This Row],[Faltou Disciplina?]]="Não","-","")</f>
        <v/>
      </c>
      <c r="N186" s="18" t="str" cm="1">
        <f t="array" ref="N18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7" spans="1:14" x14ac:dyDescent="0.25">
      <c r="A187" s="18" t="s">
        <v>322</v>
      </c>
      <c r="B187" s="18" t="s">
        <v>107</v>
      </c>
      <c r="C187" s="18" t="s">
        <v>163</v>
      </c>
      <c r="D187" s="19" t="s">
        <v>326</v>
      </c>
      <c r="E187" s="18">
        <f t="shared" si="4"/>
        <v>504</v>
      </c>
      <c r="F187" s="20" t="b">
        <v>0</v>
      </c>
      <c r="G187" s="18" t="str">
        <f>IF(Tabela2[[#This Row],[Augin?]]=TRUE,"LIBERADO PARA OBRA","PENDENTE")</f>
        <v>PENDENTE</v>
      </c>
      <c r="H187" s="21"/>
      <c r="I187" s="22"/>
      <c r="J187" s="18"/>
      <c r="K187" s="19"/>
      <c r="L187" s="21" t="str">
        <f>IF(Tabela2[[#This Row],[Faltou Disciplina?]]="Não","-","")</f>
        <v/>
      </c>
      <c r="M187" s="21" t="str">
        <f>IF(Tabela2[[#This Row],[Faltou Disciplina?]]="Não","-","")</f>
        <v/>
      </c>
      <c r="N187" s="18" t="str" cm="1">
        <f t="array" ref="N18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8" spans="1:14" x14ac:dyDescent="0.25">
      <c r="A188" s="18" t="s">
        <v>322</v>
      </c>
      <c r="B188" s="18" t="s">
        <v>107</v>
      </c>
      <c r="C188" s="18" t="s">
        <v>163</v>
      </c>
      <c r="D188" s="19" t="s">
        <v>327</v>
      </c>
      <c r="E188" s="18">
        <f t="shared" si="4"/>
        <v>505</v>
      </c>
      <c r="F188" s="20" t="b">
        <v>0</v>
      </c>
      <c r="G188" s="18" t="str">
        <f>IF(Tabela2[[#This Row],[Augin?]]=TRUE,"LIBERADO PARA OBRA","PENDENTE")</f>
        <v>PENDENTE</v>
      </c>
      <c r="H188" s="21"/>
      <c r="I188" s="22"/>
      <c r="J188" s="18"/>
      <c r="K188" s="19"/>
      <c r="L188" s="21" t="str">
        <f>IF(Tabela2[[#This Row],[Faltou Disciplina?]]="Não","-","")</f>
        <v/>
      </c>
      <c r="M188" s="21" t="str">
        <f>IF(Tabela2[[#This Row],[Faltou Disciplina?]]="Não","-","")</f>
        <v/>
      </c>
      <c r="N188" s="18" t="str" cm="1">
        <f t="array" ref="N18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89" spans="1:14" x14ac:dyDescent="0.25">
      <c r="A189" s="18" t="s">
        <v>322</v>
      </c>
      <c r="B189" s="18" t="s">
        <v>107</v>
      </c>
      <c r="C189" s="18" t="s">
        <v>163</v>
      </c>
      <c r="D189" s="19" t="s">
        <v>198</v>
      </c>
      <c r="E189" s="18">
        <f t="shared" si="4"/>
        <v>506</v>
      </c>
      <c r="F189" s="20" t="b">
        <v>1</v>
      </c>
      <c r="G189" s="18" t="str">
        <f>IF(Tabela2[[#This Row],[Augin?]]=TRUE,"LIBERADO PARA OBRA","PENDENTE")</f>
        <v>LIBERADO PARA OBRA</v>
      </c>
      <c r="H189" s="21"/>
      <c r="I189" s="22"/>
      <c r="J189" s="18"/>
      <c r="K189" s="19"/>
      <c r="L189" s="21" t="str">
        <f>IF(Tabela2[[#This Row],[Faltou Disciplina?]]="Não","-","")</f>
        <v/>
      </c>
      <c r="M189" s="21" t="str">
        <f>IF(Tabela2[[#This Row],[Faltou Disciplina?]]="Não","-","")</f>
        <v/>
      </c>
      <c r="N189" s="18" t="str" cm="1">
        <f t="array" ref="N189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0" spans="1:14" x14ac:dyDescent="0.25">
      <c r="A190" s="18" t="s">
        <v>199</v>
      </c>
      <c r="B190" s="18" t="s">
        <v>107</v>
      </c>
      <c r="C190" s="18" t="s">
        <v>163</v>
      </c>
      <c r="D190" s="19" t="s">
        <v>200</v>
      </c>
      <c r="E190" s="18">
        <v>601</v>
      </c>
      <c r="F190" s="20" t="b">
        <v>0</v>
      </c>
      <c r="G190" s="18" t="str">
        <f>IF(Tabela2[[#This Row],[Augin?]]=TRUE,"LIBERADO PARA OBRA","PENDENTE")</f>
        <v>PENDENTE</v>
      </c>
      <c r="H190" s="21"/>
      <c r="I190" s="22"/>
      <c r="J190" s="18"/>
      <c r="K190" s="19"/>
      <c r="L190" s="21" t="str">
        <f>IF(Tabela2[[#This Row],[Faltou Disciplina?]]="Não","-","")</f>
        <v/>
      </c>
      <c r="M190" s="21" t="str">
        <f>IF(Tabela2[[#This Row],[Faltou Disciplina?]]="Não","-","")</f>
        <v/>
      </c>
      <c r="N190" s="18" t="str" cm="1">
        <f t="array" ref="N190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1" spans="1:14" x14ac:dyDescent="0.25">
      <c r="A191" s="18" t="s">
        <v>199</v>
      </c>
      <c r="B191" s="18" t="s">
        <v>107</v>
      </c>
      <c r="C191" s="18" t="s">
        <v>163</v>
      </c>
      <c r="D191" s="19" t="s">
        <v>201</v>
      </c>
      <c r="E191" s="18">
        <f t="shared" si="4"/>
        <v>602</v>
      </c>
      <c r="F191" s="20" t="b">
        <v>0</v>
      </c>
      <c r="G191" s="18" t="str">
        <f>IF(Tabela2[[#This Row],[Augin?]]=TRUE,"LIBERADO PARA OBRA","PENDENTE")</f>
        <v>PENDENTE</v>
      </c>
      <c r="H191" s="21"/>
      <c r="I191" s="22"/>
      <c r="J191" s="18"/>
      <c r="K191" s="19"/>
      <c r="L191" s="21" t="str">
        <f>IF(Tabela2[[#This Row],[Faltou Disciplina?]]="Não","-","")</f>
        <v/>
      </c>
      <c r="M191" s="21" t="str">
        <f>IF(Tabela2[[#This Row],[Faltou Disciplina?]]="Não","-","")</f>
        <v/>
      </c>
      <c r="N191" s="18" t="str" cm="1">
        <f t="array" ref="N191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2" spans="1:14" x14ac:dyDescent="0.25">
      <c r="A192" s="18" t="s">
        <v>199</v>
      </c>
      <c r="B192" s="18" t="s">
        <v>107</v>
      </c>
      <c r="C192" s="18" t="s">
        <v>163</v>
      </c>
      <c r="D192" s="19" t="s">
        <v>202</v>
      </c>
      <c r="E192" s="18">
        <f t="shared" si="4"/>
        <v>603</v>
      </c>
      <c r="F192" s="20" t="b">
        <v>0</v>
      </c>
      <c r="G192" s="18" t="str">
        <f>IF(Tabela2[[#This Row],[Augin?]]=TRUE,"LIBERADO PARA OBRA","PENDENTE")</f>
        <v>PENDENTE</v>
      </c>
      <c r="H192" s="21"/>
      <c r="I192" s="22"/>
      <c r="J192" s="18"/>
      <c r="K192" s="19"/>
      <c r="L192" s="21" t="str">
        <f>IF(Tabela2[[#This Row],[Faltou Disciplina?]]="Não","-","")</f>
        <v/>
      </c>
      <c r="M192" s="21" t="str">
        <f>IF(Tabela2[[#This Row],[Faltou Disciplina?]]="Não","-","")</f>
        <v/>
      </c>
      <c r="N192" s="18" t="str" cm="1">
        <f t="array" ref="N192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3" spans="1:14" x14ac:dyDescent="0.25">
      <c r="A193" s="18" t="s">
        <v>199</v>
      </c>
      <c r="B193" s="18" t="s">
        <v>107</v>
      </c>
      <c r="C193" s="18" t="s">
        <v>163</v>
      </c>
      <c r="D193" s="19" t="s">
        <v>203</v>
      </c>
      <c r="E193" s="18">
        <f t="shared" si="4"/>
        <v>604</v>
      </c>
      <c r="F193" s="20" t="b">
        <v>0</v>
      </c>
      <c r="G193" s="18" t="str">
        <f>IF(Tabela2[[#This Row],[Augin?]]=TRUE,"LIBERADO PARA OBRA","PENDENTE")</f>
        <v>PENDENTE</v>
      </c>
      <c r="H193" s="21"/>
      <c r="I193" s="22"/>
      <c r="J193" s="18"/>
      <c r="K193" s="19"/>
      <c r="L193" s="21" t="str">
        <f>IF(Tabela2[[#This Row],[Faltou Disciplina?]]="Não","-","")</f>
        <v/>
      </c>
      <c r="M193" s="21" t="str">
        <f>IF(Tabela2[[#This Row],[Faltou Disciplina?]]="Não","-","")</f>
        <v/>
      </c>
      <c r="N193" s="18" t="str" cm="1">
        <f t="array" ref="N193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4" spans="1:14" x14ac:dyDescent="0.25">
      <c r="A194" s="18" t="s">
        <v>199</v>
      </c>
      <c r="B194" s="18" t="s">
        <v>107</v>
      </c>
      <c r="C194" s="18" t="s">
        <v>163</v>
      </c>
      <c r="D194" s="19" t="s">
        <v>204</v>
      </c>
      <c r="E194" s="18">
        <f t="shared" si="4"/>
        <v>605</v>
      </c>
      <c r="F194" s="20" t="b">
        <v>0</v>
      </c>
      <c r="G194" s="18" t="str">
        <f>IF(Tabela2[[#This Row],[Augin?]]=TRUE,"LIBERADO PARA OBRA","PENDENTE")</f>
        <v>PENDENTE</v>
      </c>
      <c r="H194" s="21"/>
      <c r="I194" s="22"/>
      <c r="J194" s="18"/>
      <c r="K194" s="19"/>
      <c r="L194" s="21" t="str">
        <f>IF(Tabela2[[#This Row],[Faltou Disciplina?]]="Não","-","")</f>
        <v/>
      </c>
      <c r="M194" s="21" t="str">
        <f>IF(Tabela2[[#This Row],[Faltou Disciplina?]]="Não","-","")</f>
        <v/>
      </c>
      <c r="N194" s="18" t="str" cm="1">
        <f t="array" ref="N194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5" spans="1:14" x14ac:dyDescent="0.25">
      <c r="A195" s="18" t="s">
        <v>199</v>
      </c>
      <c r="B195" s="18" t="s">
        <v>107</v>
      </c>
      <c r="C195" s="18" t="s">
        <v>163</v>
      </c>
      <c r="D195" s="19" t="s">
        <v>130</v>
      </c>
      <c r="E195" s="18">
        <f t="shared" si="4"/>
        <v>606</v>
      </c>
      <c r="F195" s="20" t="b">
        <v>0</v>
      </c>
      <c r="G195" s="18" t="str">
        <f>IF(Tabela2[[#This Row],[Augin?]]=TRUE,"LIBERADO PARA OBRA","PENDENTE")</f>
        <v>PENDENTE</v>
      </c>
      <c r="H195" s="21"/>
      <c r="I195" s="22"/>
      <c r="J195" s="18"/>
      <c r="K195" s="19"/>
      <c r="L195" s="21" t="str">
        <f>IF(Tabela2[[#This Row],[Faltou Disciplina?]]="Não","-","")</f>
        <v/>
      </c>
      <c r="M195" s="21" t="str">
        <f>IF(Tabela2[[#This Row],[Faltou Disciplina?]]="Não","-","")</f>
        <v/>
      </c>
      <c r="N195" s="18" t="str" cm="1">
        <f t="array" ref="N195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6" spans="1:14" x14ac:dyDescent="0.25">
      <c r="A196" s="18" t="s">
        <v>199</v>
      </c>
      <c r="B196" s="18" t="s">
        <v>14</v>
      </c>
      <c r="C196" s="18" t="s">
        <v>163</v>
      </c>
      <c r="D196" s="19" t="s">
        <v>98</v>
      </c>
      <c r="E196" s="18">
        <f t="shared" si="4"/>
        <v>607</v>
      </c>
      <c r="F196" s="20" t="b">
        <v>0</v>
      </c>
      <c r="G196" s="18" t="str">
        <f>IF(Tabela2[[#This Row],[Augin?]]=TRUE,"LIBERADO PARA OBRA","PENDENTE")</f>
        <v>PENDENTE</v>
      </c>
      <c r="H196" s="21"/>
      <c r="I196" s="22"/>
      <c r="J196" s="18"/>
      <c r="K196" s="19"/>
      <c r="L196" s="21" t="str">
        <f>IF(Tabela2[[#This Row],[Faltou Disciplina?]]="Não","-","")</f>
        <v/>
      </c>
      <c r="M196" s="21" t="str">
        <f>IF(Tabela2[[#This Row],[Faltou Disciplina?]]="Não","-","")</f>
        <v/>
      </c>
      <c r="N196" s="18" t="str" cm="1">
        <f t="array" ref="N196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7" spans="1:14" x14ac:dyDescent="0.25">
      <c r="A197" s="18" t="s">
        <v>199</v>
      </c>
      <c r="B197" s="18" t="s">
        <v>14</v>
      </c>
      <c r="C197" s="18" t="s">
        <v>163</v>
      </c>
      <c r="D197" s="19" t="s">
        <v>205</v>
      </c>
      <c r="E197" s="18">
        <f t="shared" si="4"/>
        <v>608</v>
      </c>
      <c r="F197" s="20" t="b">
        <v>0</v>
      </c>
      <c r="G197" s="18" t="str">
        <f>IF(Tabela2[[#This Row],[Augin?]]=TRUE,"LIBERADO PARA OBRA","PENDENTE")</f>
        <v>PENDENTE</v>
      </c>
      <c r="H197" s="21"/>
      <c r="I197" s="22"/>
      <c r="J197" s="18"/>
      <c r="K197" s="19"/>
      <c r="L197" s="21" t="str">
        <f>IF(Tabela2[[#This Row],[Faltou Disciplina?]]="Não","-","")</f>
        <v/>
      </c>
      <c r="M197" s="21" t="str">
        <f>IF(Tabela2[[#This Row],[Faltou Disciplina?]]="Não","-","")</f>
        <v/>
      </c>
      <c r="N197" s="18" t="str" cm="1">
        <f t="array" ref="N197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  <row r="198" spans="1:14" x14ac:dyDescent="0.25">
      <c r="A198" s="18" t="s">
        <v>199</v>
      </c>
      <c r="B198" s="18" t="s">
        <v>14</v>
      </c>
      <c r="C198" s="18" t="s">
        <v>163</v>
      </c>
      <c r="D198" s="19" t="s">
        <v>206</v>
      </c>
      <c r="E198" s="18">
        <f t="shared" si="4"/>
        <v>609</v>
      </c>
      <c r="F198" s="20" t="b">
        <v>0</v>
      </c>
      <c r="G198" s="18" t="str">
        <f>IF(Tabela2[[#This Row],[Augin?]]=TRUE,"LIBERADO PARA OBRA","PENDENTE")</f>
        <v>PENDENTE</v>
      </c>
      <c r="H198" s="21"/>
      <c r="I198" s="22"/>
      <c r="J198" s="18"/>
      <c r="K198" s="19"/>
      <c r="L198" s="21" t="str">
        <f>IF(Tabela2[[#This Row],[Faltou Disciplina?]]="Não","-","")</f>
        <v/>
      </c>
      <c r="M198" s="21" t="str">
        <f>IF(Tabela2[[#This Row],[Faltou Disciplina?]]="Não","-","")</f>
        <v/>
      </c>
      <c r="N198" s="18" t="str" cm="1">
        <f t="array" ref="N198">_xlfn.IFS(Tabela2[[#This Row],[Faltou Disciplina?]]="Sim","Revisar",Tabela2[[#This Row],[Faltou Disciplina?]]="Não","Verificada",Tabela2[[#This Row],[Faltou Disciplina?]]="","Pendente",Tabela2[[#This Row],[statusRA]]="PENDENTE","Pendente")</f>
        <v>Pendente</v>
      </c>
    </row>
  </sheetData>
  <phoneticPr fontId="5" type="noConversion"/>
  <conditionalFormatting sqref="G2:G198">
    <cfRule type="containsText" dxfId="17" priority="7" operator="containsText" text="PENDENTE">
      <formula>NOT(ISERROR(SEARCH("PENDENTE",G2)))</formula>
    </cfRule>
    <cfRule type="containsText" dxfId="16" priority="8" operator="containsText" text="LIBERADO">
      <formula>NOT(ISERROR(SEARCH("LIBERADO",G2)))</formula>
    </cfRule>
  </conditionalFormatting>
  <conditionalFormatting sqref="I2:I198">
    <cfRule type="cellIs" dxfId="15" priority="10" operator="equal">
      <formula>"Não"</formula>
    </cfRule>
    <cfRule type="cellIs" dxfId="14" priority="11" operator="equal">
      <formula>"Sim"</formula>
    </cfRule>
  </conditionalFormatting>
  <conditionalFormatting sqref="J2:M75">
    <cfRule type="cellIs" dxfId="13" priority="1" operator="equal">
      <formula>"-"</formula>
    </cfRule>
  </conditionalFormatting>
  <conditionalFormatting sqref="L76:M76 J77:M85 L86:M88 J89:M92 J93 L93:M93 J94:M99 J100:J107 L100:M107 K108:M108 J109:M143 L144:M198">
    <cfRule type="cellIs" dxfId="12" priority="9" operator="equal">
      <formula>"-"</formula>
    </cfRule>
  </conditionalFormatting>
  <conditionalFormatting sqref="N2:N198">
    <cfRule type="containsText" dxfId="11" priority="4" operator="containsText" text="Revisar">
      <formula>NOT(ISERROR(SEARCH("Revisar",N2)))</formula>
    </cfRule>
    <cfRule type="containsText" dxfId="10" priority="5" operator="containsText" text="PENDENTE">
      <formula>NOT(ISERROR(SEARCH("PENDENTE",N2)))</formula>
    </cfRule>
    <cfRule type="containsText" dxfId="9" priority="6" operator="containsText" text="Verificada">
      <formula>NOT(ISERROR(SEARCH("Verificada",N2)))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DB76-15DD-430C-B7C3-EA4D95BFF295}">
  <sheetPr codeName="Planilha2"/>
  <dimension ref="A1:H182"/>
  <sheetViews>
    <sheetView topLeftCell="A152" zoomScale="85" zoomScaleNormal="85" workbookViewId="0">
      <selection activeCell="K177" sqref="K177"/>
    </sheetView>
  </sheetViews>
  <sheetFormatPr defaultRowHeight="15" x14ac:dyDescent="0.25"/>
  <cols>
    <col min="1" max="1" width="11.85546875" customWidth="1"/>
    <col min="2" max="2" width="23.42578125" bestFit="1" customWidth="1"/>
    <col min="3" max="3" width="15.28515625" bestFit="1" customWidth="1"/>
    <col min="4" max="4" width="12.85546875" bestFit="1" customWidth="1"/>
    <col min="5" max="5" width="8.140625" bestFit="1" customWidth="1"/>
    <col min="6" max="6" width="26.7109375" bestFit="1" customWidth="1"/>
    <col min="7" max="7" width="12.28515625" bestFit="1" customWidth="1"/>
    <col min="8" max="8" width="41.5703125" style="13" bestFit="1" customWidth="1"/>
  </cols>
  <sheetData>
    <row r="1" spans="1:8" x14ac:dyDescent="0.25">
      <c r="A1" s="7" t="s">
        <v>207</v>
      </c>
      <c r="B1" s="1" t="s">
        <v>208</v>
      </c>
      <c r="C1" s="12" t="s">
        <v>0</v>
      </c>
      <c r="D1" s="2" t="s">
        <v>1</v>
      </c>
      <c r="E1" s="2" t="s">
        <v>2</v>
      </c>
      <c r="F1" s="2" t="s">
        <v>3</v>
      </c>
      <c r="G1" s="2" t="s">
        <v>209</v>
      </c>
      <c r="H1" s="14" t="s">
        <v>210</v>
      </c>
    </row>
    <row r="2" spans="1:8" x14ac:dyDescent="0.25">
      <c r="A2" s="8">
        <v>45931</v>
      </c>
      <c r="B2" s="3">
        <v>1</v>
      </c>
      <c r="C2" s="3" t="s">
        <v>13</v>
      </c>
      <c r="D2" s="5" t="s">
        <v>14</v>
      </c>
      <c r="E2" s="5" t="s">
        <v>15</v>
      </c>
      <c r="F2" s="5" t="s">
        <v>27</v>
      </c>
      <c r="G2" s="5" t="s">
        <v>211</v>
      </c>
      <c r="H2" s="15" t="s">
        <v>212</v>
      </c>
    </row>
    <row r="3" spans="1:8" x14ac:dyDescent="0.25">
      <c r="A3" s="8">
        <v>45931</v>
      </c>
      <c r="B3" s="3">
        <f t="shared" ref="B3:B19" si="0">B2+1</f>
        <v>2</v>
      </c>
      <c r="C3" s="3" t="s">
        <v>13</v>
      </c>
      <c r="D3" s="5" t="s">
        <v>14</v>
      </c>
      <c r="E3" s="5" t="s">
        <v>15</v>
      </c>
      <c r="F3" s="5" t="s">
        <v>27</v>
      </c>
      <c r="G3" s="5" t="s">
        <v>213</v>
      </c>
      <c r="H3" s="15" t="s">
        <v>214</v>
      </c>
    </row>
    <row r="4" spans="1:8" x14ac:dyDescent="0.25">
      <c r="A4" s="8">
        <v>45931</v>
      </c>
      <c r="B4" s="3">
        <f t="shared" si="0"/>
        <v>3</v>
      </c>
      <c r="C4" s="3" t="s">
        <v>13</v>
      </c>
      <c r="D4" s="5" t="s">
        <v>14</v>
      </c>
      <c r="E4" s="5" t="s">
        <v>15</v>
      </c>
      <c r="F4" s="5" t="s">
        <v>27</v>
      </c>
      <c r="G4" s="5" t="s">
        <v>211</v>
      </c>
      <c r="H4" s="15" t="s">
        <v>215</v>
      </c>
    </row>
    <row r="5" spans="1:8" x14ac:dyDescent="0.25">
      <c r="A5" s="8">
        <v>45931</v>
      </c>
      <c r="B5" s="3">
        <f t="shared" si="0"/>
        <v>4</v>
      </c>
      <c r="C5" s="3" t="s">
        <v>13</v>
      </c>
      <c r="D5" s="5" t="s">
        <v>14</v>
      </c>
      <c r="E5" s="5" t="s">
        <v>15</v>
      </c>
      <c r="F5" s="5" t="s">
        <v>27</v>
      </c>
      <c r="G5" s="5" t="s">
        <v>213</v>
      </c>
      <c r="H5" s="15" t="s">
        <v>216</v>
      </c>
    </row>
    <row r="6" spans="1:8" x14ac:dyDescent="0.25">
      <c r="A6" s="8">
        <v>45931</v>
      </c>
      <c r="B6" s="3">
        <f t="shared" si="0"/>
        <v>5</v>
      </c>
      <c r="C6" s="3" t="s">
        <v>13</v>
      </c>
      <c r="D6" s="5" t="s">
        <v>14</v>
      </c>
      <c r="E6" s="5" t="s">
        <v>15</v>
      </c>
      <c r="F6" s="5" t="s">
        <v>27</v>
      </c>
      <c r="G6" s="5" t="s">
        <v>211</v>
      </c>
      <c r="H6" s="15" t="s">
        <v>217</v>
      </c>
    </row>
    <row r="7" spans="1:8" x14ac:dyDescent="0.25">
      <c r="A7" s="8">
        <v>45931</v>
      </c>
      <c r="B7" s="4">
        <f t="shared" si="0"/>
        <v>6</v>
      </c>
      <c r="C7" s="3" t="s">
        <v>13</v>
      </c>
      <c r="D7" s="6" t="s">
        <v>14</v>
      </c>
      <c r="E7" s="5" t="s">
        <v>15</v>
      </c>
      <c r="F7" s="6" t="s">
        <v>16</v>
      </c>
      <c r="G7" s="5" t="s">
        <v>211</v>
      </c>
      <c r="H7" s="15" t="s">
        <v>212</v>
      </c>
    </row>
    <row r="8" spans="1:8" x14ac:dyDescent="0.25">
      <c r="A8" s="8">
        <v>45931</v>
      </c>
      <c r="B8" s="4">
        <f t="shared" si="0"/>
        <v>7</v>
      </c>
      <c r="C8" s="3" t="s">
        <v>13</v>
      </c>
      <c r="D8" s="6" t="s">
        <v>14</v>
      </c>
      <c r="E8" s="5" t="s">
        <v>15</v>
      </c>
      <c r="F8" s="6" t="s">
        <v>16</v>
      </c>
      <c r="G8" s="6" t="s">
        <v>218</v>
      </c>
      <c r="H8" s="16" t="s">
        <v>219</v>
      </c>
    </row>
    <row r="9" spans="1:8" x14ac:dyDescent="0.25">
      <c r="A9" s="8">
        <v>45931</v>
      </c>
      <c r="B9" s="4">
        <f t="shared" si="0"/>
        <v>8</v>
      </c>
      <c r="C9" s="3" t="s">
        <v>13</v>
      </c>
      <c r="D9" s="6" t="s">
        <v>14</v>
      </c>
      <c r="E9" s="5" t="s">
        <v>15</v>
      </c>
      <c r="F9" s="6" t="s">
        <v>16</v>
      </c>
      <c r="G9" s="6" t="s">
        <v>211</v>
      </c>
      <c r="H9" s="16" t="s">
        <v>220</v>
      </c>
    </row>
    <row r="10" spans="1:8" x14ac:dyDescent="0.25">
      <c r="A10" s="8">
        <v>45931</v>
      </c>
      <c r="B10" s="4">
        <f t="shared" si="0"/>
        <v>9</v>
      </c>
      <c r="C10" s="3" t="s">
        <v>13</v>
      </c>
      <c r="D10" s="6" t="s">
        <v>14</v>
      </c>
      <c r="E10" s="5" t="s">
        <v>15</v>
      </c>
      <c r="F10" s="6" t="s">
        <v>16</v>
      </c>
      <c r="G10" s="6" t="s">
        <v>221</v>
      </c>
      <c r="H10" s="16" t="s">
        <v>220</v>
      </c>
    </row>
    <row r="11" spans="1:8" x14ac:dyDescent="0.25">
      <c r="A11" s="8">
        <v>45931</v>
      </c>
      <c r="B11" s="4">
        <f t="shared" si="0"/>
        <v>10</v>
      </c>
      <c r="C11" s="3" t="s">
        <v>13</v>
      </c>
      <c r="D11" s="6" t="s">
        <v>14</v>
      </c>
      <c r="E11" s="5" t="s">
        <v>15</v>
      </c>
      <c r="F11" s="6" t="s">
        <v>16</v>
      </c>
      <c r="G11" s="6" t="s">
        <v>211</v>
      </c>
      <c r="H11" s="16" t="s">
        <v>220</v>
      </c>
    </row>
    <row r="12" spans="1:8" x14ac:dyDescent="0.25">
      <c r="A12" s="8">
        <v>45931</v>
      </c>
      <c r="B12" s="4">
        <f t="shared" si="0"/>
        <v>11</v>
      </c>
      <c r="C12" s="3" t="s">
        <v>13</v>
      </c>
      <c r="D12" s="6" t="s">
        <v>14</v>
      </c>
      <c r="E12" s="5" t="s">
        <v>15</v>
      </c>
      <c r="F12" s="6" t="s">
        <v>16</v>
      </c>
      <c r="G12" s="6" t="s">
        <v>213</v>
      </c>
      <c r="H12" s="16" t="s">
        <v>222</v>
      </c>
    </row>
    <row r="13" spans="1:8" x14ac:dyDescent="0.25">
      <c r="A13" s="8">
        <v>45931</v>
      </c>
      <c r="B13" s="4">
        <f t="shared" si="0"/>
        <v>12</v>
      </c>
      <c r="C13" s="3" t="s">
        <v>13</v>
      </c>
      <c r="D13" s="6" t="s">
        <v>14</v>
      </c>
      <c r="E13" s="6" t="s">
        <v>15</v>
      </c>
      <c r="F13" s="6" t="s">
        <v>16</v>
      </c>
      <c r="G13" s="6" t="s">
        <v>211</v>
      </c>
      <c r="H13" s="16" t="s">
        <v>212</v>
      </c>
    </row>
    <row r="14" spans="1:8" x14ac:dyDescent="0.25">
      <c r="A14" s="8">
        <v>45931</v>
      </c>
      <c r="B14" s="4">
        <f t="shared" si="0"/>
        <v>13</v>
      </c>
      <c r="C14" s="3" t="s">
        <v>13</v>
      </c>
      <c r="D14" s="6" t="s">
        <v>14</v>
      </c>
      <c r="E14" s="6" t="s">
        <v>15</v>
      </c>
      <c r="F14" s="6" t="s">
        <v>16</v>
      </c>
      <c r="G14" s="6" t="s">
        <v>211</v>
      </c>
      <c r="H14" s="16" t="s">
        <v>223</v>
      </c>
    </row>
    <row r="15" spans="1:8" x14ac:dyDescent="0.25">
      <c r="A15" s="8">
        <v>45931</v>
      </c>
      <c r="B15" s="4">
        <f t="shared" si="0"/>
        <v>14</v>
      </c>
      <c r="C15" s="3" t="s">
        <v>13</v>
      </c>
      <c r="D15" s="6" t="s">
        <v>14</v>
      </c>
      <c r="E15" s="6" t="s">
        <v>15</v>
      </c>
      <c r="F15" s="6" t="s">
        <v>16</v>
      </c>
      <c r="G15" s="6" t="s">
        <v>211</v>
      </c>
      <c r="H15" s="16" t="s">
        <v>224</v>
      </c>
    </row>
    <row r="16" spans="1:8" x14ac:dyDescent="0.25">
      <c r="A16" s="8">
        <v>45931</v>
      </c>
      <c r="B16" s="4">
        <f t="shared" si="0"/>
        <v>15</v>
      </c>
      <c r="C16" s="3" t="s">
        <v>13</v>
      </c>
      <c r="D16" s="6" t="s">
        <v>14</v>
      </c>
      <c r="E16" s="6" t="s">
        <v>15</v>
      </c>
      <c r="F16" s="6" t="s">
        <v>16</v>
      </c>
      <c r="G16" s="6" t="s">
        <v>211</v>
      </c>
      <c r="H16" s="16" t="s">
        <v>225</v>
      </c>
    </row>
    <row r="17" spans="1:8" x14ac:dyDescent="0.25">
      <c r="A17" s="8">
        <v>45931</v>
      </c>
      <c r="B17" s="4">
        <f t="shared" si="0"/>
        <v>16</v>
      </c>
      <c r="C17" s="3" t="s">
        <v>13</v>
      </c>
      <c r="D17" s="6" t="s">
        <v>14</v>
      </c>
      <c r="E17" s="6" t="s">
        <v>15</v>
      </c>
      <c r="F17" s="6" t="s">
        <v>16</v>
      </c>
      <c r="G17" s="6" t="s">
        <v>211</v>
      </c>
      <c r="H17" s="16" t="s">
        <v>226</v>
      </c>
    </row>
    <row r="18" spans="1:8" x14ac:dyDescent="0.25">
      <c r="A18" s="8">
        <v>45931</v>
      </c>
      <c r="B18" s="4">
        <f t="shared" si="0"/>
        <v>17</v>
      </c>
      <c r="C18" s="3" t="s">
        <v>13</v>
      </c>
      <c r="D18" s="6" t="s">
        <v>14</v>
      </c>
      <c r="E18" s="6" t="s">
        <v>15</v>
      </c>
      <c r="F18" s="6" t="s">
        <v>16</v>
      </c>
      <c r="G18" s="6" t="s">
        <v>213</v>
      </c>
      <c r="H18" s="16" t="s">
        <v>227</v>
      </c>
    </row>
    <row r="19" spans="1:8" x14ac:dyDescent="0.25">
      <c r="A19" s="8">
        <v>45931</v>
      </c>
      <c r="B19" s="4">
        <f t="shared" si="0"/>
        <v>18</v>
      </c>
      <c r="C19" s="3" t="s">
        <v>13</v>
      </c>
      <c r="D19" s="6" t="s">
        <v>14</v>
      </c>
      <c r="E19" s="6" t="s">
        <v>15</v>
      </c>
      <c r="F19" s="6" t="s">
        <v>16</v>
      </c>
      <c r="G19" s="6" t="s">
        <v>221</v>
      </c>
      <c r="H19" s="16" t="s">
        <v>228</v>
      </c>
    </row>
    <row r="20" spans="1:8" x14ac:dyDescent="0.25">
      <c r="A20" s="8">
        <v>45931</v>
      </c>
      <c r="B20" s="3">
        <f t="shared" ref="B20:B31" si="1">B19+1</f>
        <v>19</v>
      </c>
      <c r="C20" s="3" t="s">
        <v>13</v>
      </c>
      <c r="D20" s="5" t="s">
        <v>14</v>
      </c>
      <c r="E20" s="5" t="s">
        <v>15</v>
      </c>
      <c r="F20" s="5" t="s">
        <v>16</v>
      </c>
      <c r="G20" s="5" t="s">
        <v>54</v>
      </c>
      <c r="H20" s="16" t="s">
        <v>229</v>
      </c>
    </row>
    <row r="21" spans="1:8" x14ac:dyDescent="0.25">
      <c r="A21" s="8">
        <v>45931</v>
      </c>
      <c r="B21" s="3">
        <f t="shared" si="1"/>
        <v>20</v>
      </c>
      <c r="C21" s="3" t="s">
        <v>13</v>
      </c>
      <c r="D21" s="5" t="s">
        <v>14</v>
      </c>
      <c r="E21" s="5" t="s">
        <v>15</v>
      </c>
      <c r="F21" s="5" t="s">
        <v>16</v>
      </c>
      <c r="G21" s="5" t="s">
        <v>54</v>
      </c>
      <c r="H21" s="16" t="s">
        <v>230</v>
      </c>
    </row>
    <row r="22" spans="1:8" x14ac:dyDescent="0.25">
      <c r="A22" s="8">
        <v>45931</v>
      </c>
      <c r="B22" s="3">
        <f t="shared" si="1"/>
        <v>21</v>
      </c>
      <c r="C22" s="3" t="s">
        <v>13</v>
      </c>
      <c r="D22" s="5" t="s">
        <v>14</v>
      </c>
      <c r="E22" s="5" t="s">
        <v>15</v>
      </c>
      <c r="F22" s="5" t="s">
        <v>16</v>
      </c>
      <c r="G22" s="5" t="s">
        <v>54</v>
      </c>
      <c r="H22" s="16" t="s">
        <v>229</v>
      </c>
    </row>
    <row r="23" spans="1:8" x14ac:dyDescent="0.25">
      <c r="A23" s="8">
        <v>45931</v>
      </c>
      <c r="B23" s="3">
        <f t="shared" si="1"/>
        <v>22</v>
      </c>
      <c r="C23" s="3" t="s">
        <v>13</v>
      </c>
      <c r="D23" s="5" t="s">
        <v>14</v>
      </c>
      <c r="E23" s="5" t="s">
        <v>15</v>
      </c>
      <c r="F23" s="5" t="s">
        <v>16</v>
      </c>
      <c r="G23" s="5" t="s">
        <v>211</v>
      </c>
      <c r="H23" s="15" t="s">
        <v>223</v>
      </c>
    </row>
    <row r="24" spans="1:8" ht="30" x14ac:dyDescent="0.25">
      <c r="A24" s="8">
        <v>45931</v>
      </c>
      <c r="B24" s="3">
        <f t="shared" si="1"/>
        <v>23</v>
      </c>
      <c r="C24" s="3" t="s">
        <v>13</v>
      </c>
      <c r="D24" s="5" t="s">
        <v>14</v>
      </c>
      <c r="E24" s="5" t="s">
        <v>15</v>
      </c>
      <c r="F24" s="5" t="s">
        <v>16</v>
      </c>
      <c r="G24" s="5" t="s">
        <v>213</v>
      </c>
      <c r="H24" s="15" t="s">
        <v>231</v>
      </c>
    </row>
    <row r="25" spans="1:8" ht="30" x14ac:dyDescent="0.25">
      <c r="A25" s="8">
        <v>45931</v>
      </c>
      <c r="B25" s="3">
        <f t="shared" si="1"/>
        <v>24</v>
      </c>
      <c r="C25" s="3" t="s">
        <v>13</v>
      </c>
      <c r="D25" s="5" t="s">
        <v>14</v>
      </c>
      <c r="E25" s="5" t="s">
        <v>15</v>
      </c>
      <c r="F25" s="5" t="s">
        <v>16</v>
      </c>
      <c r="G25" s="5" t="s">
        <v>211</v>
      </c>
      <c r="H25" s="15" t="s">
        <v>232</v>
      </c>
    </row>
    <row r="26" spans="1:8" ht="30" x14ac:dyDescent="0.25">
      <c r="A26" s="8">
        <v>45931</v>
      </c>
      <c r="B26" s="3">
        <f t="shared" si="1"/>
        <v>25</v>
      </c>
      <c r="C26" s="3" t="s">
        <v>13</v>
      </c>
      <c r="D26" s="5" t="s">
        <v>14</v>
      </c>
      <c r="E26" s="5" t="s">
        <v>15</v>
      </c>
      <c r="F26" s="5" t="s">
        <v>16</v>
      </c>
      <c r="G26" s="5" t="s">
        <v>211</v>
      </c>
      <c r="H26" s="15" t="s">
        <v>233</v>
      </c>
    </row>
    <row r="27" spans="1:8" x14ac:dyDescent="0.25">
      <c r="A27" s="8">
        <v>45931</v>
      </c>
      <c r="B27" s="3">
        <f t="shared" si="1"/>
        <v>26</v>
      </c>
      <c r="C27" s="3" t="s">
        <v>13</v>
      </c>
      <c r="D27" s="5" t="s">
        <v>14</v>
      </c>
      <c r="E27" s="5" t="s">
        <v>15</v>
      </c>
      <c r="F27" s="5" t="s">
        <v>16</v>
      </c>
      <c r="G27" s="5"/>
      <c r="H27" s="15" t="s">
        <v>234</v>
      </c>
    </row>
    <row r="28" spans="1:8" x14ac:dyDescent="0.25">
      <c r="A28" s="8">
        <v>45931</v>
      </c>
      <c r="B28" s="3">
        <f t="shared" si="1"/>
        <v>27</v>
      </c>
      <c r="C28" s="3" t="s">
        <v>13</v>
      </c>
      <c r="D28" s="5" t="s">
        <v>14</v>
      </c>
      <c r="E28" s="5" t="s">
        <v>15</v>
      </c>
      <c r="F28" s="5" t="s">
        <v>16</v>
      </c>
      <c r="G28" s="5" t="s">
        <v>211</v>
      </c>
      <c r="H28" s="15" t="s">
        <v>235</v>
      </c>
    </row>
    <row r="29" spans="1:8" x14ac:dyDescent="0.25">
      <c r="A29" s="8">
        <v>45931</v>
      </c>
      <c r="B29" s="3">
        <f t="shared" si="1"/>
        <v>28</v>
      </c>
      <c r="C29" s="3" t="s">
        <v>13</v>
      </c>
      <c r="D29" s="5" t="s">
        <v>14</v>
      </c>
      <c r="E29" s="5" t="s">
        <v>15</v>
      </c>
      <c r="F29" s="5" t="s">
        <v>16</v>
      </c>
      <c r="G29" s="5" t="s">
        <v>54</v>
      </c>
      <c r="H29" s="16" t="s">
        <v>230</v>
      </c>
    </row>
    <row r="30" spans="1:8" x14ac:dyDescent="0.25">
      <c r="A30" s="8">
        <v>45931</v>
      </c>
      <c r="B30" s="3">
        <f t="shared" si="1"/>
        <v>29</v>
      </c>
      <c r="C30" s="3" t="s">
        <v>13</v>
      </c>
      <c r="D30" s="5" t="s">
        <v>14</v>
      </c>
      <c r="E30" s="5" t="s">
        <v>15</v>
      </c>
      <c r="F30" s="5" t="s">
        <v>16</v>
      </c>
      <c r="G30" s="5" t="s">
        <v>221</v>
      </c>
      <c r="H30" s="16" t="s">
        <v>236</v>
      </c>
    </row>
    <row r="31" spans="1:8" x14ac:dyDescent="0.25">
      <c r="A31" s="8">
        <v>45931</v>
      </c>
      <c r="B31" s="4">
        <f t="shared" si="1"/>
        <v>30</v>
      </c>
      <c r="C31" s="3" t="s">
        <v>13</v>
      </c>
      <c r="D31" s="6" t="s">
        <v>14</v>
      </c>
      <c r="E31" s="6" t="s">
        <v>15</v>
      </c>
      <c r="F31" s="6" t="s">
        <v>16</v>
      </c>
      <c r="G31" s="6" t="s">
        <v>213</v>
      </c>
      <c r="H31" s="16" t="s">
        <v>237</v>
      </c>
    </row>
    <row r="32" spans="1:8" x14ac:dyDescent="0.25">
      <c r="A32" s="8">
        <v>45931</v>
      </c>
      <c r="B32" s="4">
        <f t="shared" ref="B32:B74" si="2">B31+1</f>
        <v>31</v>
      </c>
      <c r="C32" s="3" t="s">
        <v>13</v>
      </c>
      <c r="D32" s="6" t="s">
        <v>14</v>
      </c>
      <c r="E32" s="6" t="s">
        <v>15</v>
      </c>
      <c r="F32" s="6" t="s">
        <v>16</v>
      </c>
      <c r="G32" s="6" t="s">
        <v>213</v>
      </c>
      <c r="H32" s="16" t="s">
        <v>238</v>
      </c>
    </row>
    <row r="33" spans="1:8" x14ac:dyDescent="0.25">
      <c r="A33" s="8">
        <v>45931</v>
      </c>
      <c r="B33" s="4">
        <f t="shared" si="2"/>
        <v>32</v>
      </c>
      <c r="C33" s="3" t="s">
        <v>13</v>
      </c>
      <c r="D33" s="6" t="s">
        <v>14</v>
      </c>
      <c r="E33" s="6" t="s">
        <v>15</v>
      </c>
      <c r="F33" s="6" t="s">
        <v>16</v>
      </c>
      <c r="G33" s="6" t="s">
        <v>213</v>
      </c>
      <c r="H33" s="16" t="s">
        <v>239</v>
      </c>
    </row>
    <row r="34" spans="1:8" x14ac:dyDescent="0.25">
      <c r="A34" s="8">
        <v>45931</v>
      </c>
      <c r="B34" s="4">
        <f t="shared" si="2"/>
        <v>33</v>
      </c>
      <c r="C34" s="3" t="s">
        <v>13</v>
      </c>
      <c r="D34" s="6" t="s">
        <v>14</v>
      </c>
      <c r="E34" s="6" t="s">
        <v>15</v>
      </c>
      <c r="F34" s="6" t="s">
        <v>26</v>
      </c>
      <c r="G34" s="6" t="s">
        <v>221</v>
      </c>
      <c r="H34" s="16" t="s">
        <v>236</v>
      </c>
    </row>
    <row r="35" spans="1:8" x14ac:dyDescent="0.25">
      <c r="A35" s="8">
        <v>45975</v>
      </c>
      <c r="B35" s="4">
        <f t="shared" si="2"/>
        <v>34</v>
      </c>
      <c r="C35" s="3" t="s">
        <v>13</v>
      </c>
      <c r="D35" s="6" t="s">
        <v>14</v>
      </c>
      <c r="E35" s="6" t="s">
        <v>15</v>
      </c>
      <c r="F35" s="6" t="s">
        <v>25</v>
      </c>
      <c r="G35" s="6" t="s">
        <v>221</v>
      </c>
      <c r="H35" s="16" t="s">
        <v>240</v>
      </c>
    </row>
    <row r="36" spans="1:8" x14ac:dyDescent="0.25">
      <c r="A36" s="8">
        <v>45975</v>
      </c>
      <c r="B36" s="4">
        <f t="shared" si="2"/>
        <v>35</v>
      </c>
      <c r="C36" s="3" t="s">
        <v>13</v>
      </c>
      <c r="D36" s="6" t="s">
        <v>14</v>
      </c>
      <c r="E36" s="6" t="s">
        <v>15</v>
      </c>
      <c r="F36" s="6" t="s">
        <v>36</v>
      </c>
      <c r="G36" s="6" t="s">
        <v>46</v>
      </c>
      <c r="H36" s="16" t="s">
        <v>241</v>
      </c>
    </row>
    <row r="37" spans="1:8" x14ac:dyDescent="0.25">
      <c r="A37" s="8">
        <v>45975</v>
      </c>
      <c r="B37" s="4">
        <f t="shared" si="2"/>
        <v>36</v>
      </c>
      <c r="C37" s="3" t="s">
        <v>13</v>
      </c>
      <c r="D37" s="6" t="s">
        <v>14</v>
      </c>
      <c r="E37" s="6" t="s">
        <v>15</v>
      </c>
      <c r="F37" s="6" t="s">
        <v>36</v>
      </c>
      <c r="G37" s="6" t="s">
        <v>54</v>
      </c>
      <c r="H37" s="16" t="s">
        <v>242</v>
      </c>
    </row>
    <row r="38" spans="1:8" ht="30" x14ac:dyDescent="0.25">
      <c r="A38" s="8">
        <v>45975</v>
      </c>
      <c r="B38" s="4">
        <f t="shared" si="2"/>
        <v>37</v>
      </c>
      <c r="C38" s="3" t="s">
        <v>13</v>
      </c>
      <c r="D38" s="6" t="s">
        <v>14</v>
      </c>
      <c r="E38" s="6" t="s">
        <v>15</v>
      </c>
      <c r="F38" s="6" t="s">
        <v>36</v>
      </c>
      <c r="G38" s="6" t="s">
        <v>211</v>
      </c>
      <c r="H38" s="16" t="s">
        <v>243</v>
      </c>
    </row>
    <row r="39" spans="1:8" ht="30" x14ac:dyDescent="0.25">
      <c r="A39" s="8">
        <v>45975</v>
      </c>
      <c r="B39" s="4">
        <f t="shared" si="2"/>
        <v>38</v>
      </c>
      <c r="C39" s="3" t="s">
        <v>13</v>
      </c>
      <c r="D39" s="6" t="s">
        <v>14</v>
      </c>
      <c r="E39" s="6" t="s">
        <v>15</v>
      </c>
      <c r="F39" s="6" t="s">
        <v>36</v>
      </c>
      <c r="G39" s="6" t="s">
        <v>213</v>
      </c>
      <c r="H39" s="16" t="s">
        <v>244</v>
      </c>
    </row>
    <row r="40" spans="1:8" x14ac:dyDescent="0.25">
      <c r="A40" s="8">
        <v>45975</v>
      </c>
      <c r="B40" s="4">
        <f t="shared" si="2"/>
        <v>39</v>
      </c>
      <c r="C40" s="3" t="s">
        <v>13</v>
      </c>
      <c r="D40" s="6" t="s">
        <v>14</v>
      </c>
      <c r="E40" s="6" t="s">
        <v>15</v>
      </c>
      <c r="F40" s="6" t="s">
        <v>37</v>
      </c>
      <c r="G40" s="6" t="s">
        <v>213</v>
      </c>
      <c r="H40" s="16" t="s">
        <v>245</v>
      </c>
    </row>
    <row r="41" spans="1:8" x14ac:dyDescent="0.25">
      <c r="A41" s="8">
        <v>45975</v>
      </c>
      <c r="B41" s="4">
        <f t="shared" si="2"/>
        <v>40</v>
      </c>
      <c r="C41" s="3" t="s">
        <v>13</v>
      </c>
      <c r="D41" s="6" t="s">
        <v>14</v>
      </c>
      <c r="E41" s="6" t="s">
        <v>15</v>
      </c>
      <c r="F41" s="6" t="s">
        <v>37</v>
      </c>
      <c r="G41" s="6" t="s">
        <v>221</v>
      </c>
      <c r="H41" s="16" t="s">
        <v>245</v>
      </c>
    </row>
    <row r="42" spans="1:8" ht="30" x14ac:dyDescent="0.25">
      <c r="A42" s="8">
        <v>45975</v>
      </c>
      <c r="B42" s="4">
        <f t="shared" si="2"/>
        <v>41</v>
      </c>
      <c r="C42" s="3" t="s">
        <v>13</v>
      </c>
      <c r="D42" s="6" t="s">
        <v>14</v>
      </c>
      <c r="E42" s="6" t="s">
        <v>15</v>
      </c>
      <c r="F42" s="6" t="s">
        <v>37</v>
      </c>
      <c r="G42" s="6" t="s">
        <v>213</v>
      </c>
      <c r="H42" s="16" t="s">
        <v>246</v>
      </c>
    </row>
    <row r="43" spans="1:8" ht="30" x14ac:dyDescent="0.25">
      <c r="A43" s="8">
        <v>45975</v>
      </c>
      <c r="B43" s="4">
        <f t="shared" si="2"/>
        <v>42</v>
      </c>
      <c r="C43" s="3" t="s">
        <v>13</v>
      </c>
      <c r="D43" s="6" t="s">
        <v>14</v>
      </c>
      <c r="E43" s="6" t="s">
        <v>15</v>
      </c>
      <c r="F43" s="6" t="s">
        <v>37</v>
      </c>
      <c r="G43" s="6" t="s">
        <v>54</v>
      </c>
      <c r="H43" s="16" t="s">
        <v>247</v>
      </c>
    </row>
    <row r="44" spans="1:8" ht="30" x14ac:dyDescent="0.25">
      <c r="A44" s="8">
        <v>45975</v>
      </c>
      <c r="B44" s="4">
        <f t="shared" si="2"/>
        <v>43</v>
      </c>
      <c r="C44" s="3" t="s">
        <v>13</v>
      </c>
      <c r="D44" s="6" t="s">
        <v>14</v>
      </c>
      <c r="E44" s="6" t="s">
        <v>15</v>
      </c>
      <c r="F44" s="6" t="s">
        <v>37</v>
      </c>
      <c r="G44" s="6" t="s">
        <v>213</v>
      </c>
      <c r="H44" s="16" t="s">
        <v>246</v>
      </c>
    </row>
    <row r="45" spans="1:8" x14ac:dyDescent="0.25">
      <c r="A45" s="8">
        <v>45931</v>
      </c>
      <c r="B45" s="4">
        <f t="shared" si="2"/>
        <v>44</v>
      </c>
      <c r="C45" s="3" t="s">
        <v>13</v>
      </c>
      <c r="D45" s="6" t="s">
        <v>18</v>
      </c>
      <c r="E45" s="6" t="s">
        <v>15</v>
      </c>
      <c r="F45" s="6" t="s">
        <v>31</v>
      </c>
      <c r="G45" s="6" t="s">
        <v>211</v>
      </c>
      <c r="H45" s="16" t="s">
        <v>248</v>
      </c>
    </row>
    <row r="46" spans="1:8" x14ac:dyDescent="0.25">
      <c r="A46" s="8">
        <v>45931</v>
      </c>
      <c r="B46" s="4">
        <f t="shared" si="2"/>
        <v>45</v>
      </c>
      <c r="C46" s="3" t="s">
        <v>13</v>
      </c>
      <c r="D46" s="6" t="s">
        <v>18</v>
      </c>
      <c r="E46" s="6" t="s">
        <v>15</v>
      </c>
      <c r="F46" s="6" t="s">
        <v>31</v>
      </c>
      <c r="G46" s="6" t="s">
        <v>221</v>
      </c>
      <c r="H46" s="16" t="s">
        <v>248</v>
      </c>
    </row>
    <row r="47" spans="1:8" x14ac:dyDescent="0.25">
      <c r="A47" s="8">
        <v>45931</v>
      </c>
      <c r="B47" s="4">
        <f t="shared" si="2"/>
        <v>46</v>
      </c>
      <c r="C47" s="3" t="s">
        <v>13</v>
      </c>
      <c r="D47" s="6" t="s">
        <v>18</v>
      </c>
      <c r="E47" s="6" t="s">
        <v>15</v>
      </c>
      <c r="F47" s="6" t="s">
        <v>31</v>
      </c>
      <c r="G47" s="6" t="s">
        <v>249</v>
      </c>
      <c r="H47" s="16" t="s">
        <v>248</v>
      </c>
    </row>
    <row r="48" spans="1:8" x14ac:dyDescent="0.25">
      <c r="A48" s="8">
        <v>45931</v>
      </c>
      <c r="B48" s="4">
        <f t="shared" si="2"/>
        <v>47</v>
      </c>
      <c r="C48" s="3" t="s">
        <v>13</v>
      </c>
      <c r="D48" s="6" t="s">
        <v>18</v>
      </c>
      <c r="E48" s="6" t="s">
        <v>15</v>
      </c>
      <c r="F48" s="6" t="s">
        <v>31</v>
      </c>
      <c r="G48" s="6" t="s">
        <v>46</v>
      </c>
      <c r="H48" s="16" t="s">
        <v>248</v>
      </c>
    </row>
    <row r="49" spans="1:8" x14ac:dyDescent="0.25">
      <c r="A49" s="8">
        <v>45931</v>
      </c>
      <c r="B49" s="4">
        <f t="shared" si="2"/>
        <v>48</v>
      </c>
      <c r="C49" s="3" t="s">
        <v>13</v>
      </c>
      <c r="D49" s="6" t="s">
        <v>18</v>
      </c>
      <c r="E49" s="6" t="s">
        <v>15</v>
      </c>
      <c r="F49" s="6" t="s">
        <v>31</v>
      </c>
      <c r="G49" s="6" t="s">
        <v>54</v>
      </c>
      <c r="H49" s="16" t="s">
        <v>248</v>
      </c>
    </row>
    <row r="50" spans="1:8" x14ac:dyDescent="0.25">
      <c r="A50" s="8">
        <v>45931</v>
      </c>
      <c r="B50" s="4">
        <f t="shared" si="2"/>
        <v>49</v>
      </c>
      <c r="C50" s="3" t="s">
        <v>13</v>
      </c>
      <c r="D50" s="6" t="s">
        <v>18</v>
      </c>
      <c r="E50" s="6" t="s">
        <v>15</v>
      </c>
      <c r="F50" s="6" t="s">
        <v>33</v>
      </c>
      <c r="G50" s="6" t="s">
        <v>249</v>
      </c>
      <c r="H50" s="16" t="s">
        <v>248</v>
      </c>
    </row>
    <row r="51" spans="1:8" x14ac:dyDescent="0.25">
      <c r="A51" s="8">
        <v>45931</v>
      </c>
      <c r="B51" s="4">
        <f t="shared" si="2"/>
        <v>50</v>
      </c>
      <c r="C51" s="3" t="s">
        <v>13</v>
      </c>
      <c r="D51" s="6" t="s">
        <v>18</v>
      </c>
      <c r="E51" s="6" t="s">
        <v>15</v>
      </c>
      <c r="F51" s="6" t="s">
        <v>33</v>
      </c>
      <c r="G51" s="6" t="s">
        <v>46</v>
      </c>
      <c r="H51" s="16" t="s">
        <v>248</v>
      </c>
    </row>
    <row r="52" spans="1:8" ht="30" x14ac:dyDescent="0.25">
      <c r="A52" s="8">
        <v>45982</v>
      </c>
      <c r="B52" s="4">
        <f t="shared" si="2"/>
        <v>51</v>
      </c>
      <c r="C52" s="3" t="s">
        <v>13</v>
      </c>
      <c r="D52" s="6" t="s">
        <v>18</v>
      </c>
      <c r="E52" s="6" t="s">
        <v>15</v>
      </c>
      <c r="F52" s="6" t="s">
        <v>19</v>
      </c>
      <c r="G52" s="6" t="s">
        <v>213</v>
      </c>
      <c r="H52" s="16" t="s">
        <v>250</v>
      </c>
    </row>
    <row r="53" spans="1:8" ht="30" x14ac:dyDescent="0.25">
      <c r="A53" s="8">
        <v>45982</v>
      </c>
      <c r="B53" s="4">
        <f t="shared" si="2"/>
        <v>52</v>
      </c>
      <c r="C53" s="3" t="s">
        <v>13</v>
      </c>
      <c r="D53" s="6" t="s">
        <v>18</v>
      </c>
      <c r="E53" s="6" t="s">
        <v>15</v>
      </c>
      <c r="F53" s="6" t="s">
        <v>19</v>
      </c>
      <c r="G53" s="6" t="s">
        <v>211</v>
      </c>
      <c r="H53" s="16" t="s">
        <v>251</v>
      </c>
    </row>
    <row r="54" spans="1:8" x14ac:dyDescent="0.25">
      <c r="A54" s="8">
        <v>45982</v>
      </c>
      <c r="B54" s="4">
        <f t="shared" si="2"/>
        <v>53</v>
      </c>
      <c r="C54" s="3" t="s">
        <v>13</v>
      </c>
      <c r="D54" s="6" t="s">
        <v>18</v>
      </c>
      <c r="E54" s="6" t="s">
        <v>15</v>
      </c>
      <c r="F54" s="6" t="s">
        <v>19</v>
      </c>
      <c r="G54" s="6" t="s">
        <v>221</v>
      </c>
      <c r="H54" s="16" t="s">
        <v>252</v>
      </c>
    </row>
    <row r="55" spans="1:8" ht="45" x14ac:dyDescent="0.25">
      <c r="A55" s="8">
        <v>45982</v>
      </c>
      <c r="B55" s="4">
        <f t="shared" si="2"/>
        <v>54</v>
      </c>
      <c r="C55" s="3" t="s">
        <v>13</v>
      </c>
      <c r="D55" s="6" t="s">
        <v>18</v>
      </c>
      <c r="E55" s="6" t="s">
        <v>15</v>
      </c>
      <c r="F55" s="6" t="s">
        <v>19</v>
      </c>
      <c r="G55" s="6" t="s">
        <v>54</v>
      </c>
      <c r="H55" s="16" t="s">
        <v>253</v>
      </c>
    </row>
    <row r="56" spans="1:8" ht="30" x14ac:dyDescent="0.25">
      <c r="A56" s="8">
        <v>45982</v>
      </c>
      <c r="B56" s="4">
        <f t="shared" si="2"/>
        <v>55</v>
      </c>
      <c r="C56" s="3" t="s">
        <v>13</v>
      </c>
      <c r="D56" s="6" t="s">
        <v>18</v>
      </c>
      <c r="E56" s="6" t="s">
        <v>15</v>
      </c>
      <c r="F56" s="6" t="s">
        <v>42</v>
      </c>
      <c r="G56" s="6" t="s">
        <v>211</v>
      </c>
      <c r="H56" s="16" t="s">
        <v>254</v>
      </c>
    </row>
    <row r="57" spans="1:8" ht="30" x14ac:dyDescent="0.25">
      <c r="A57" s="8">
        <v>45982</v>
      </c>
      <c r="B57" s="4">
        <f t="shared" si="2"/>
        <v>56</v>
      </c>
      <c r="C57" s="3" t="s">
        <v>13</v>
      </c>
      <c r="D57" s="6" t="s">
        <v>18</v>
      </c>
      <c r="E57" s="6" t="s">
        <v>15</v>
      </c>
      <c r="F57" s="6" t="s">
        <v>42</v>
      </c>
      <c r="G57" s="6" t="s">
        <v>46</v>
      </c>
      <c r="H57" s="16" t="s">
        <v>255</v>
      </c>
    </row>
    <row r="58" spans="1:8" x14ac:dyDescent="0.25">
      <c r="A58" s="8">
        <v>45982</v>
      </c>
      <c r="B58" s="4">
        <f t="shared" si="2"/>
        <v>57</v>
      </c>
      <c r="C58" s="3" t="s">
        <v>13</v>
      </c>
      <c r="D58" s="6" t="s">
        <v>18</v>
      </c>
      <c r="E58" s="6" t="s">
        <v>15</v>
      </c>
      <c r="F58" s="6" t="s">
        <v>42</v>
      </c>
      <c r="G58" s="6" t="s">
        <v>54</v>
      </c>
      <c r="H58" s="16" t="s">
        <v>256</v>
      </c>
    </row>
    <row r="59" spans="1:8" x14ac:dyDescent="0.25">
      <c r="A59" s="8">
        <v>45982</v>
      </c>
      <c r="B59" s="4">
        <f t="shared" si="2"/>
        <v>58</v>
      </c>
      <c r="C59" s="3" t="s">
        <v>13</v>
      </c>
      <c r="D59" s="6" t="s">
        <v>18</v>
      </c>
      <c r="E59" s="6" t="s">
        <v>15</v>
      </c>
      <c r="F59" s="6" t="s">
        <v>42</v>
      </c>
      <c r="G59" s="6" t="s">
        <v>211</v>
      </c>
      <c r="H59" s="16" t="s">
        <v>257</v>
      </c>
    </row>
    <row r="60" spans="1:8" x14ac:dyDescent="0.25">
      <c r="A60" s="8">
        <v>45982</v>
      </c>
      <c r="B60" s="4">
        <f t="shared" si="2"/>
        <v>59</v>
      </c>
      <c r="C60" s="3" t="s">
        <v>13</v>
      </c>
      <c r="D60" s="6" t="s">
        <v>18</v>
      </c>
      <c r="E60" s="6" t="s">
        <v>15</v>
      </c>
      <c r="F60" s="6" t="s">
        <v>45</v>
      </c>
      <c r="G60" s="6" t="s">
        <v>211</v>
      </c>
      <c r="H60" s="16" t="s">
        <v>258</v>
      </c>
    </row>
    <row r="61" spans="1:8" x14ac:dyDescent="0.25">
      <c r="A61" s="8">
        <v>45982</v>
      </c>
      <c r="B61" s="4">
        <f t="shared" si="2"/>
        <v>60</v>
      </c>
      <c r="C61" s="3" t="s">
        <v>13</v>
      </c>
      <c r="D61" s="6" t="s">
        <v>18</v>
      </c>
      <c r="E61" s="6" t="s">
        <v>15</v>
      </c>
      <c r="F61" s="6" t="s">
        <v>45</v>
      </c>
      <c r="G61" s="6" t="s">
        <v>221</v>
      </c>
      <c r="H61" s="16" t="s">
        <v>259</v>
      </c>
    </row>
    <row r="62" spans="1:8" x14ac:dyDescent="0.25">
      <c r="A62" s="8">
        <v>45982</v>
      </c>
      <c r="B62" s="4">
        <f t="shared" si="2"/>
        <v>61</v>
      </c>
      <c r="C62" s="3" t="s">
        <v>13</v>
      </c>
      <c r="D62" s="6" t="s">
        <v>18</v>
      </c>
      <c r="E62" s="6" t="s">
        <v>15</v>
      </c>
      <c r="F62" s="6" t="s">
        <v>45</v>
      </c>
      <c r="G62" s="6" t="s">
        <v>54</v>
      </c>
      <c r="H62" s="16" t="s">
        <v>259</v>
      </c>
    </row>
    <row r="63" spans="1:8" ht="30" x14ac:dyDescent="0.25">
      <c r="A63" s="8">
        <v>45982</v>
      </c>
      <c r="B63" s="4">
        <f t="shared" si="2"/>
        <v>62</v>
      </c>
      <c r="C63" s="3" t="s">
        <v>13</v>
      </c>
      <c r="D63" s="6" t="s">
        <v>18</v>
      </c>
      <c r="E63" s="6" t="s">
        <v>15</v>
      </c>
      <c r="F63" s="6" t="s">
        <v>53</v>
      </c>
      <c r="G63" s="6" t="s">
        <v>46</v>
      </c>
      <c r="H63" s="16" t="s">
        <v>255</v>
      </c>
    </row>
    <row r="64" spans="1:8" ht="30" x14ac:dyDescent="0.25">
      <c r="A64" s="8">
        <v>45982</v>
      </c>
      <c r="B64" s="4">
        <f t="shared" si="2"/>
        <v>63</v>
      </c>
      <c r="C64" s="3" t="s">
        <v>13</v>
      </c>
      <c r="D64" s="6" t="s">
        <v>18</v>
      </c>
      <c r="E64" s="6" t="s">
        <v>15</v>
      </c>
      <c r="F64" s="6" t="s">
        <v>53</v>
      </c>
      <c r="G64" s="6" t="s">
        <v>221</v>
      </c>
      <c r="H64" s="16" t="s">
        <v>260</v>
      </c>
    </row>
    <row r="65" spans="1:8" x14ac:dyDescent="0.25">
      <c r="A65" s="8">
        <v>45982</v>
      </c>
      <c r="B65" s="4">
        <f t="shared" si="2"/>
        <v>64</v>
      </c>
      <c r="C65" s="3" t="s">
        <v>13</v>
      </c>
      <c r="D65" s="6" t="s">
        <v>18</v>
      </c>
      <c r="E65" s="6" t="s">
        <v>15</v>
      </c>
      <c r="F65" s="6" t="s">
        <v>53</v>
      </c>
      <c r="G65" s="6" t="s">
        <v>218</v>
      </c>
      <c r="H65" s="16" t="s">
        <v>220</v>
      </c>
    </row>
    <row r="66" spans="1:8" ht="30" x14ac:dyDescent="0.25">
      <c r="A66" s="8">
        <v>45982</v>
      </c>
      <c r="B66" s="4">
        <f t="shared" si="2"/>
        <v>65</v>
      </c>
      <c r="C66" s="3" t="s">
        <v>13</v>
      </c>
      <c r="D66" s="6" t="s">
        <v>18</v>
      </c>
      <c r="E66" s="6" t="s">
        <v>15</v>
      </c>
      <c r="F66" s="6" t="s">
        <v>50</v>
      </c>
      <c r="G66" s="6" t="s">
        <v>213</v>
      </c>
      <c r="H66" s="16" t="s">
        <v>261</v>
      </c>
    </row>
    <row r="67" spans="1:8" ht="30" x14ac:dyDescent="0.25">
      <c r="A67" s="8">
        <v>45982</v>
      </c>
      <c r="B67" s="4">
        <f t="shared" si="2"/>
        <v>66</v>
      </c>
      <c r="C67" s="3" t="s">
        <v>13</v>
      </c>
      <c r="D67" s="6" t="s">
        <v>18</v>
      </c>
      <c r="E67" s="6" t="s">
        <v>15</v>
      </c>
      <c r="F67" s="6" t="s">
        <v>50</v>
      </c>
      <c r="G67" s="6" t="s">
        <v>213</v>
      </c>
      <c r="H67" s="16" t="s">
        <v>262</v>
      </c>
    </row>
    <row r="68" spans="1:8" ht="30" x14ac:dyDescent="0.25">
      <c r="A68" s="8">
        <v>45982</v>
      </c>
      <c r="B68" s="4">
        <f t="shared" si="2"/>
        <v>67</v>
      </c>
      <c r="C68" s="3" t="s">
        <v>13</v>
      </c>
      <c r="D68" s="6" t="s">
        <v>18</v>
      </c>
      <c r="E68" s="6" t="s">
        <v>15</v>
      </c>
      <c r="F68" s="6" t="s">
        <v>50</v>
      </c>
      <c r="G68" s="6" t="s">
        <v>213</v>
      </c>
      <c r="H68" s="16" t="s">
        <v>263</v>
      </c>
    </row>
    <row r="69" spans="1:8" ht="30" x14ac:dyDescent="0.25">
      <c r="A69" s="8">
        <v>45982</v>
      </c>
      <c r="B69" s="4">
        <f t="shared" si="2"/>
        <v>68</v>
      </c>
      <c r="C69" s="3" t="s">
        <v>13</v>
      </c>
      <c r="D69" s="6" t="s">
        <v>18</v>
      </c>
      <c r="E69" s="6" t="s">
        <v>15</v>
      </c>
      <c r="F69" s="6" t="s">
        <v>50</v>
      </c>
      <c r="G69" s="6" t="s">
        <v>213</v>
      </c>
      <c r="H69" s="16" t="s">
        <v>262</v>
      </c>
    </row>
    <row r="70" spans="1:8" ht="30" x14ac:dyDescent="0.25">
      <c r="A70" s="8">
        <v>45982</v>
      </c>
      <c r="B70" s="4">
        <f t="shared" si="2"/>
        <v>69</v>
      </c>
      <c r="C70" s="3" t="s">
        <v>13</v>
      </c>
      <c r="D70" s="6" t="s">
        <v>18</v>
      </c>
      <c r="E70" s="6" t="s">
        <v>15</v>
      </c>
      <c r="F70" s="6" t="s">
        <v>50</v>
      </c>
      <c r="G70" s="6" t="s">
        <v>213</v>
      </c>
      <c r="H70" s="16" t="s">
        <v>264</v>
      </c>
    </row>
    <row r="71" spans="1:8" ht="30" x14ac:dyDescent="0.25">
      <c r="A71" s="8">
        <v>45982</v>
      </c>
      <c r="B71" s="4">
        <f t="shared" si="2"/>
        <v>70</v>
      </c>
      <c r="C71" s="3" t="s">
        <v>13</v>
      </c>
      <c r="D71" s="6" t="s">
        <v>18</v>
      </c>
      <c r="E71" s="6" t="s">
        <v>15</v>
      </c>
      <c r="F71" s="6" t="s">
        <v>50</v>
      </c>
      <c r="G71" s="6" t="s">
        <v>211</v>
      </c>
      <c r="H71" s="16" t="s">
        <v>265</v>
      </c>
    </row>
    <row r="72" spans="1:8" ht="30" x14ac:dyDescent="0.25">
      <c r="A72" s="8">
        <v>45982</v>
      </c>
      <c r="B72" s="4">
        <f t="shared" si="2"/>
        <v>71</v>
      </c>
      <c r="C72" s="3" t="s">
        <v>13</v>
      </c>
      <c r="D72" s="6" t="s">
        <v>18</v>
      </c>
      <c r="E72" s="6" t="s">
        <v>15</v>
      </c>
      <c r="F72" s="6" t="s">
        <v>50</v>
      </c>
      <c r="G72" s="6" t="s">
        <v>213</v>
      </c>
      <c r="H72" s="16" t="s">
        <v>266</v>
      </c>
    </row>
    <row r="73" spans="1:8" ht="45" x14ac:dyDescent="0.25">
      <c r="A73" s="8">
        <v>45982</v>
      </c>
      <c r="B73" s="4">
        <f t="shared" si="2"/>
        <v>72</v>
      </c>
      <c r="C73" s="3" t="s">
        <v>13</v>
      </c>
      <c r="D73" s="6" t="s">
        <v>18</v>
      </c>
      <c r="E73" s="6" t="s">
        <v>15</v>
      </c>
      <c r="F73" s="6" t="s">
        <v>50</v>
      </c>
      <c r="G73" s="6" t="s">
        <v>46</v>
      </c>
      <c r="H73" s="16" t="s">
        <v>267</v>
      </c>
    </row>
    <row r="74" spans="1:8" x14ac:dyDescent="0.25">
      <c r="A74" s="8">
        <v>45993</v>
      </c>
      <c r="B74" s="4">
        <f t="shared" si="2"/>
        <v>73</v>
      </c>
      <c r="C74" s="3" t="s">
        <v>13</v>
      </c>
      <c r="D74" s="6" t="s">
        <v>18</v>
      </c>
      <c r="E74" s="6" t="s">
        <v>15</v>
      </c>
      <c r="F74" s="6" t="s">
        <v>70</v>
      </c>
      <c r="G74" s="6" t="s">
        <v>221</v>
      </c>
      <c r="H74" s="16" t="s">
        <v>268</v>
      </c>
    </row>
    <row r="75" spans="1:8" x14ac:dyDescent="0.25">
      <c r="A75" s="8">
        <v>45993</v>
      </c>
      <c r="B75" s="3">
        <f t="shared" ref="B75:B78" si="3">B74+1</f>
        <v>74</v>
      </c>
      <c r="C75" s="3" t="s">
        <v>13</v>
      </c>
      <c r="D75" s="5" t="s">
        <v>18</v>
      </c>
      <c r="E75" s="6" t="s">
        <v>15</v>
      </c>
      <c r="F75" s="5" t="s">
        <v>70</v>
      </c>
      <c r="G75" s="5" t="s">
        <v>221</v>
      </c>
      <c r="H75" s="15" t="s">
        <v>269</v>
      </c>
    </row>
    <row r="76" spans="1:8" ht="30" x14ac:dyDescent="0.25">
      <c r="A76" s="8">
        <v>45993</v>
      </c>
      <c r="B76" s="3">
        <f t="shared" si="3"/>
        <v>75</v>
      </c>
      <c r="C76" s="3" t="s">
        <v>13</v>
      </c>
      <c r="D76" s="5" t="s">
        <v>18</v>
      </c>
      <c r="E76" s="6" t="s">
        <v>15</v>
      </c>
      <c r="F76" s="5" t="s">
        <v>70</v>
      </c>
      <c r="G76" s="5" t="s">
        <v>211</v>
      </c>
      <c r="H76" s="15" t="s">
        <v>270</v>
      </c>
    </row>
    <row r="77" spans="1:8" x14ac:dyDescent="0.25">
      <c r="A77" s="8">
        <v>45993</v>
      </c>
      <c r="B77" s="3">
        <f t="shared" si="3"/>
        <v>76</v>
      </c>
      <c r="C77" s="3" t="s">
        <v>13</v>
      </c>
      <c r="D77" s="5" t="s">
        <v>18</v>
      </c>
      <c r="E77" s="6" t="s">
        <v>15</v>
      </c>
      <c r="F77" s="5" t="s">
        <v>70</v>
      </c>
      <c r="G77" s="5" t="s">
        <v>46</v>
      </c>
      <c r="H77" s="15" t="s">
        <v>271</v>
      </c>
    </row>
    <row r="78" spans="1:8" x14ac:dyDescent="0.25">
      <c r="A78" s="8">
        <v>45993</v>
      </c>
      <c r="B78" s="4">
        <f t="shared" si="3"/>
        <v>77</v>
      </c>
      <c r="C78" s="3" t="s">
        <v>13</v>
      </c>
      <c r="D78" s="6" t="s">
        <v>18</v>
      </c>
      <c r="E78" s="6" t="s">
        <v>15</v>
      </c>
      <c r="F78" s="6" t="s">
        <v>70</v>
      </c>
      <c r="G78" s="6" t="s">
        <v>249</v>
      </c>
      <c r="H78" s="16" t="s">
        <v>272</v>
      </c>
    </row>
    <row r="79" spans="1:8" x14ac:dyDescent="0.25">
      <c r="A79" s="8">
        <v>45993</v>
      </c>
      <c r="B79" s="4">
        <f t="shared" ref="B79" si="4">B78+1</f>
        <v>78</v>
      </c>
      <c r="C79" s="3" t="s">
        <v>13</v>
      </c>
      <c r="D79" s="6" t="s">
        <v>18</v>
      </c>
      <c r="E79" s="6" t="s">
        <v>15</v>
      </c>
      <c r="F79" s="6" t="s">
        <v>70</v>
      </c>
      <c r="G79" s="6" t="s">
        <v>218</v>
      </c>
      <c r="H79" s="16" t="s">
        <v>273</v>
      </c>
    </row>
    <row r="80" spans="1:8" ht="30" x14ac:dyDescent="0.25">
      <c r="A80" s="8">
        <v>45993</v>
      </c>
      <c r="B80" s="4">
        <f t="shared" ref="B80" si="5">B79+1</f>
        <v>79</v>
      </c>
      <c r="C80" s="3" t="s">
        <v>13</v>
      </c>
      <c r="D80" s="6" t="s">
        <v>18</v>
      </c>
      <c r="E80" s="6" t="s">
        <v>15</v>
      </c>
      <c r="F80" s="6" t="s">
        <v>70</v>
      </c>
      <c r="G80" s="6" t="s">
        <v>54</v>
      </c>
      <c r="H80" s="16" t="s">
        <v>274</v>
      </c>
    </row>
    <row r="81" spans="1:8" ht="30" x14ac:dyDescent="0.25">
      <c r="A81" s="8">
        <v>45993</v>
      </c>
      <c r="B81" s="4">
        <f t="shared" ref="B81" si="6">B80+1</f>
        <v>80</v>
      </c>
      <c r="C81" s="3" t="s">
        <v>13</v>
      </c>
      <c r="D81" s="6" t="s">
        <v>18</v>
      </c>
      <c r="E81" s="6" t="s">
        <v>15</v>
      </c>
      <c r="F81" s="6" t="s">
        <v>73</v>
      </c>
      <c r="G81" s="6" t="s">
        <v>54</v>
      </c>
      <c r="H81" s="16" t="s">
        <v>274</v>
      </c>
    </row>
    <row r="82" spans="1:8" x14ac:dyDescent="0.25">
      <c r="A82" s="8">
        <v>45993</v>
      </c>
      <c r="B82" s="4">
        <f t="shared" ref="B82" si="7">B81+1</f>
        <v>81</v>
      </c>
      <c r="C82" s="3" t="s">
        <v>13</v>
      </c>
      <c r="D82" s="6" t="s">
        <v>18</v>
      </c>
      <c r="E82" s="6" t="s">
        <v>15</v>
      </c>
      <c r="F82" s="6" t="s">
        <v>73</v>
      </c>
      <c r="G82" s="6" t="s">
        <v>211</v>
      </c>
      <c r="H82" s="15" t="s">
        <v>269</v>
      </c>
    </row>
    <row r="83" spans="1:8" x14ac:dyDescent="0.25">
      <c r="A83" s="8">
        <v>45993</v>
      </c>
      <c r="B83" s="4">
        <f t="shared" ref="B83" si="8">B82+1</f>
        <v>82</v>
      </c>
      <c r="C83" s="3" t="s">
        <v>13</v>
      </c>
      <c r="D83" s="6" t="s">
        <v>18</v>
      </c>
      <c r="E83" s="6" t="s">
        <v>15</v>
      </c>
      <c r="F83" s="6" t="s">
        <v>73</v>
      </c>
      <c r="G83" s="6" t="s">
        <v>46</v>
      </c>
      <c r="H83" s="16" t="s">
        <v>271</v>
      </c>
    </row>
    <row r="84" spans="1:8" x14ac:dyDescent="0.25">
      <c r="A84" s="8">
        <v>45993</v>
      </c>
      <c r="B84" s="4">
        <f t="shared" ref="B84" si="9">B83+1</f>
        <v>83</v>
      </c>
      <c r="C84" s="3" t="s">
        <v>13</v>
      </c>
      <c r="D84" s="6" t="s">
        <v>38</v>
      </c>
      <c r="E84" s="6" t="s">
        <v>15</v>
      </c>
      <c r="F84" s="6" t="s">
        <v>39</v>
      </c>
      <c r="G84" s="6" t="s">
        <v>46</v>
      </c>
      <c r="H84" s="16" t="s">
        <v>275</v>
      </c>
    </row>
    <row r="85" spans="1:8" ht="30" x14ac:dyDescent="0.25">
      <c r="A85" s="9">
        <v>45993</v>
      </c>
      <c r="B85" s="3">
        <f t="shared" ref="B85:B90" si="10">B84+1</f>
        <v>84</v>
      </c>
      <c r="C85" s="3" t="s">
        <v>13</v>
      </c>
      <c r="D85" s="5" t="s">
        <v>38</v>
      </c>
      <c r="E85" s="6" t="s">
        <v>15</v>
      </c>
      <c r="F85" s="5" t="s">
        <v>39</v>
      </c>
      <c r="G85" s="5" t="s">
        <v>213</v>
      </c>
      <c r="H85" s="15" t="s">
        <v>276</v>
      </c>
    </row>
    <row r="86" spans="1:8" ht="30" x14ac:dyDescent="0.25">
      <c r="A86" s="9">
        <v>45993</v>
      </c>
      <c r="B86" s="3">
        <f t="shared" si="10"/>
        <v>85</v>
      </c>
      <c r="C86" s="3" t="s">
        <v>13</v>
      </c>
      <c r="D86" s="5" t="s">
        <v>38</v>
      </c>
      <c r="E86" s="6" t="s">
        <v>15</v>
      </c>
      <c r="F86" s="5" t="s">
        <v>39</v>
      </c>
      <c r="G86" s="5" t="s">
        <v>211</v>
      </c>
      <c r="H86" s="15" t="s">
        <v>277</v>
      </c>
    </row>
    <row r="87" spans="1:8" ht="45" x14ac:dyDescent="0.25">
      <c r="A87" s="9">
        <v>45993</v>
      </c>
      <c r="B87" s="3">
        <f t="shared" si="10"/>
        <v>86</v>
      </c>
      <c r="C87" s="3" t="s">
        <v>13</v>
      </c>
      <c r="D87" s="5" t="s">
        <v>38</v>
      </c>
      <c r="E87" s="6" t="s">
        <v>15</v>
      </c>
      <c r="F87" s="5" t="s">
        <v>39</v>
      </c>
      <c r="G87" s="5" t="s">
        <v>211</v>
      </c>
      <c r="H87" s="15" t="s">
        <v>278</v>
      </c>
    </row>
    <row r="88" spans="1:8" ht="45" x14ac:dyDescent="0.25">
      <c r="A88" s="9">
        <v>45993</v>
      </c>
      <c r="B88" s="3">
        <f t="shared" si="10"/>
        <v>87</v>
      </c>
      <c r="C88" s="3" t="s">
        <v>13</v>
      </c>
      <c r="D88" s="5" t="s">
        <v>38</v>
      </c>
      <c r="E88" s="6" t="s">
        <v>15</v>
      </c>
      <c r="F88" s="5" t="s">
        <v>39</v>
      </c>
      <c r="G88" s="5" t="s">
        <v>211</v>
      </c>
      <c r="H88" s="15" t="s">
        <v>279</v>
      </c>
    </row>
    <row r="89" spans="1:8" ht="30" x14ac:dyDescent="0.25">
      <c r="A89" s="9">
        <v>45993</v>
      </c>
      <c r="B89" s="3">
        <f t="shared" si="10"/>
        <v>88</v>
      </c>
      <c r="C89" s="3" t="s">
        <v>13</v>
      </c>
      <c r="D89" s="5" t="s">
        <v>38</v>
      </c>
      <c r="E89" s="6" t="s">
        <v>15</v>
      </c>
      <c r="F89" s="5" t="s">
        <v>39</v>
      </c>
      <c r="G89" s="5" t="s">
        <v>221</v>
      </c>
      <c r="H89" s="15" t="s">
        <v>280</v>
      </c>
    </row>
    <row r="90" spans="1:8" ht="30" x14ac:dyDescent="0.25">
      <c r="A90" s="9">
        <v>45993</v>
      </c>
      <c r="B90" s="3">
        <f t="shared" si="10"/>
        <v>89</v>
      </c>
      <c r="C90" s="3" t="s">
        <v>13</v>
      </c>
      <c r="D90" s="5" t="s">
        <v>38</v>
      </c>
      <c r="E90" s="6" t="s">
        <v>15</v>
      </c>
      <c r="F90" s="5" t="s">
        <v>39</v>
      </c>
      <c r="G90" s="5" t="s">
        <v>221</v>
      </c>
      <c r="H90" s="15" t="s">
        <v>281</v>
      </c>
    </row>
    <row r="91" spans="1:8" ht="75" x14ac:dyDescent="0.25">
      <c r="A91" s="8">
        <v>46006</v>
      </c>
      <c r="B91" s="4">
        <f t="shared" ref="B91:B99" si="11">B90+1</f>
        <v>90</v>
      </c>
      <c r="C91" s="4" t="s">
        <v>13</v>
      </c>
      <c r="D91" s="6" t="s">
        <v>18</v>
      </c>
      <c r="E91" s="6" t="s">
        <v>15</v>
      </c>
      <c r="F91" s="6" t="s">
        <v>71</v>
      </c>
      <c r="G91" s="6" t="s">
        <v>213</v>
      </c>
      <c r="H91" s="16" t="s">
        <v>282</v>
      </c>
    </row>
    <row r="92" spans="1:8" ht="30" x14ac:dyDescent="0.25">
      <c r="A92" s="8">
        <v>46006</v>
      </c>
      <c r="B92" s="4">
        <f t="shared" si="11"/>
        <v>91</v>
      </c>
      <c r="C92" s="4" t="s">
        <v>13</v>
      </c>
      <c r="D92" s="6" t="s">
        <v>18</v>
      </c>
      <c r="E92" s="6" t="s">
        <v>15</v>
      </c>
      <c r="F92" s="6" t="s">
        <v>71</v>
      </c>
      <c r="G92" s="6" t="s">
        <v>221</v>
      </c>
      <c r="H92" s="16" t="s">
        <v>283</v>
      </c>
    </row>
    <row r="93" spans="1:8" x14ac:dyDescent="0.25">
      <c r="A93" s="8">
        <v>46006</v>
      </c>
      <c r="B93" s="4">
        <f t="shared" si="11"/>
        <v>92</v>
      </c>
      <c r="C93" s="4" t="s">
        <v>13</v>
      </c>
      <c r="D93" s="6" t="s">
        <v>18</v>
      </c>
      <c r="E93" s="6" t="s">
        <v>15</v>
      </c>
      <c r="F93" s="6" t="s">
        <v>71</v>
      </c>
      <c r="G93" s="6" t="s">
        <v>211</v>
      </c>
      <c r="H93" s="16" t="s">
        <v>284</v>
      </c>
    </row>
    <row r="94" spans="1:8" ht="30" x14ac:dyDescent="0.25">
      <c r="A94" s="8">
        <v>46006</v>
      </c>
      <c r="B94" s="4">
        <f t="shared" si="11"/>
        <v>93</v>
      </c>
      <c r="C94" s="4" t="s">
        <v>13</v>
      </c>
      <c r="D94" s="6" t="s">
        <v>18</v>
      </c>
      <c r="E94" s="6" t="s">
        <v>15</v>
      </c>
      <c r="F94" s="6" t="s">
        <v>71</v>
      </c>
      <c r="G94" s="6" t="s">
        <v>211</v>
      </c>
      <c r="H94" s="16" t="s">
        <v>285</v>
      </c>
    </row>
    <row r="95" spans="1:8" ht="30" x14ac:dyDescent="0.25">
      <c r="A95" s="8">
        <v>46006</v>
      </c>
      <c r="B95" s="4">
        <f t="shared" si="11"/>
        <v>94</v>
      </c>
      <c r="C95" s="4" t="s">
        <v>13</v>
      </c>
      <c r="D95" s="6" t="s">
        <v>18</v>
      </c>
      <c r="E95" s="6" t="s">
        <v>15</v>
      </c>
      <c r="F95" s="6" t="s">
        <v>71</v>
      </c>
      <c r="G95" s="6" t="s">
        <v>211</v>
      </c>
      <c r="H95" s="16" t="s">
        <v>286</v>
      </c>
    </row>
    <row r="96" spans="1:8" ht="30" x14ac:dyDescent="0.25">
      <c r="A96" s="8">
        <v>46006</v>
      </c>
      <c r="B96" s="4">
        <f t="shared" si="11"/>
        <v>95</v>
      </c>
      <c r="C96" s="4" t="s">
        <v>13</v>
      </c>
      <c r="D96" s="6" t="s">
        <v>18</v>
      </c>
      <c r="E96" s="6" t="s">
        <v>15</v>
      </c>
      <c r="F96" s="6" t="s">
        <v>71</v>
      </c>
      <c r="G96" s="6" t="s">
        <v>46</v>
      </c>
      <c r="H96" s="16" t="s">
        <v>287</v>
      </c>
    </row>
    <row r="97" spans="1:8" ht="30" x14ac:dyDescent="0.25">
      <c r="A97" s="8">
        <v>46006</v>
      </c>
      <c r="B97" s="4">
        <f t="shared" si="11"/>
        <v>96</v>
      </c>
      <c r="C97" s="4" t="s">
        <v>13</v>
      </c>
      <c r="D97" s="6" t="s">
        <v>18</v>
      </c>
      <c r="E97" s="6" t="s">
        <v>15</v>
      </c>
      <c r="F97" s="6" t="s">
        <v>71</v>
      </c>
      <c r="G97" s="6" t="s">
        <v>249</v>
      </c>
      <c r="H97" s="16" t="s">
        <v>288</v>
      </c>
    </row>
    <row r="98" spans="1:8" x14ac:dyDescent="0.25">
      <c r="A98" s="8">
        <v>46006</v>
      </c>
      <c r="B98" s="4">
        <f t="shared" si="11"/>
        <v>97</v>
      </c>
      <c r="C98" s="4" t="s">
        <v>13</v>
      </c>
      <c r="D98" s="6" t="s">
        <v>18</v>
      </c>
      <c r="E98" s="6" t="s">
        <v>15</v>
      </c>
      <c r="F98" s="6" t="s">
        <v>71</v>
      </c>
      <c r="G98" s="6" t="s">
        <v>218</v>
      </c>
      <c r="H98" s="16" t="s">
        <v>289</v>
      </c>
    </row>
    <row r="99" spans="1:8" x14ac:dyDescent="0.25">
      <c r="A99" s="8">
        <v>46006</v>
      </c>
      <c r="B99" s="4">
        <f t="shared" si="11"/>
        <v>98</v>
      </c>
      <c r="C99" s="4" t="s">
        <v>13</v>
      </c>
      <c r="D99" s="6" t="s">
        <v>18</v>
      </c>
      <c r="E99" s="6" t="s">
        <v>15</v>
      </c>
      <c r="F99" s="6" t="s">
        <v>71</v>
      </c>
      <c r="G99" s="6" t="s">
        <v>54</v>
      </c>
      <c r="H99" s="16" t="s">
        <v>290</v>
      </c>
    </row>
    <row r="100" spans="1:8" ht="30" x14ac:dyDescent="0.25">
      <c r="A100" s="8">
        <v>46006</v>
      </c>
      <c r="B100" s="4">
        <f t="shared" ref="B100" si="12">B99+1</f>
        <v>99</v>
      </c>
      <c r="C100" s="4" t="s">
        <v>13</v>
      </c>
      <c r="D100" s="6" t="s">
        <v>18</v>
      </c>
      <c r="E100" s="6" t="s">
        <v>15</v>
      </c>
      <c r="F100" s="6" t="s">
        <v>58</v>
      </c>
      <c r="G100" s="6" t="s">
        <v>213</v>
      </c>
      <c r="H100" s="16" t="s">
        <v>291</v>
      </c>
    </row>
    <row r="101" spans="1:8" ht="30" x14ac:dyDescent="0.25">
      <c r="A101" s="8">
        <v>46006</v>
      </c>
      <c r="B101" s="4">
        <f t="shared" ref="B101" si="13">B100+1</f>
        <v>100</v>
      </c>
      <c r="C101" s="4" t="s">
        <v>13</v>
      </c>
      <c r="D101" s="6" t="s">
        <v>18</v>
      </c>
      <c r="E101" s="6" t="s">
        <v>15</v>
      </c>
      <c r="F101" s="6" t="s">
        <v>58</v>
      </c>
      <c r="G101" s="6" t="s">
        <v>213</v>
      </c>
      <c r="H101" s="16" t="s">
        <v>292</v>
      </c>
    </row>
    <row r="102" spans="1:8" ht="30" x14ac:dyDescent="0.25">
      <c r="A102" s="8">
        <v>46006</v>
      </c>
      <c r="B102" s="4">
        <f t="shared" ref="B102" si="14">B101+1</f>
        <v>101</v>
      </c>
      <c r="C102" s="4" t="s">
        <v>13</v>
      </c>
      <c r="D102" s="6" t="s">
        <v>18</v>
      </c>
      <c r="E102" s="6" t="s">
        <v>15</v>
      </c>
      <c r="F102" s="6" t="s">
        <v>58</v>
      </c>
      <c r="G102" s="6" t="s">
        <v>221</v>
      </c>
      <c r="H102" s="16" t="s">
        <v>293</v>
      </c>
    </row>
    <row r="103" spans="1:8" x14ac:dyDescent="0.25">
      <c r="A103" s="8">
        <v>46006</v>
      </c>
      <c r="B103" s="4">
        <f t="shared" ref="B103:B108" si="15">B102+1</f>
        <v>102</v>
      </c>
      <c r="C103" s="4" t="s">
        <v>13</v>
      </c>
      <c r="D103" s="6" t="s">
        <v>18</v>
      </c>
      <c r="E103" s="6" t="s">
        <v>15</v>
      </c>
      <c r="F103" s="6" t="s">
        <v>58</v>
      </c>
      <c r="G103" s="6" t="s">
        <v>46</v>
      </c>
      <c r="H103" s="16" t="s">
        <v>294</v>
      </c>
    </row>
    <row r="104" spans="1:8" x14ac:dyDescent="0.25">
      <c r="A104" s="8">
        <v>46006</v>
      </c>
      <c r="B104" s="4">
        <f t="shared" si="15"/>
        <v>103</v>
      </c>
      <c r="C104" s="4" t="s">
        <v>13</v>
      </c>
      <c r="D104" s="6" t="s">
        <v>18</v>
      </c>
      <c r="E104" s="6" t="s">
        <v>15</v>
      </c>
      <c r="F104" s="6" t="s">
        <v>58</v>
      </c>
      <c r="G104" s="6" t="s">
        <v>218</v>
      </c>
      <c r="H104" s="16" t="s">
        <v>295</v>
      </c>
    </row>
    <row r="105" spans="1:8" x14ac:dyDescent="0.25">
      <c r="A105" s="8">
        <v>46006</v>
      </c>
      <c r="B105" s="4">
        <f t="shared" si="15"/>
        <v>104</v>
      </c>
      <c r="C105" s="4" t="s">
        <v>13</v>
      </c>
      <c r="D105" s="6" t="s">
        <v>18</v>
      </c>
      <c r="E105" s="6" t="s">
        <v>15</v>
      </c>
      <c r="F105" s="6" t="s">
        <v>58</v>
      </c>
      <c r="G105" s="6" t="s">
        <v>54</v>
      </c>
      <c r="H105" s="16" t="s">
        <v>256</v>
      </c>
    </row>
    <row r="106" spans="1:8" ht="45" x14ac:dyDescent="0.25">
      <c r="A106" s="8">
        <v>46006</v>
      </c>
      <c r="B106" s="4">
        <f t="shared" si="15"/>
        <v>105</v>
      </c>
      <c r="C106" s="4" t="s">
        <v>13</v>
      </c>
      <c r="D106" s="6" t="s">
        <v>18</v>
      </c>
      <c r="E106" s="6" t="s">
        <v>15</v>
      </c>
      <c r="F106" s="6" t="s">
        <v>68</v>
      </c>
      <c r="G106" s="6" t="s">
        <v>221</v>
      </c>
      <c r="H106" s="16" t="s">
        <v>298</v>
      </c>
    </row>
    <row r="107" spans="1:8" x14ac:dyDescent="0.25">
      <c r="A107" s="8">
        <v>46006</v>
      </c>
      <c r="B107" s="4">
        <f t="shared" si="15"/>
        <v>106</v>
      </c>
      <c r="C107" s="4" t="s">
        <v>13</v>
      </c>
      <c r="D107" s="6" t="s">
        <v>18</v>
      </c>
      <c r="E107" s="6" t="s">
        <v>15</v>
      </c>
      <c r="F107" s="6" t="s">
        <v>68</v>
      </c>
      <c r="G107" s="6" t="s">
        <v>221</v>
      </c>
      <c r="H107" s="16" t="s">
        <v>299</v>
      </c>
    </row>
    <row r="108" spans="1:8" x14ac:dyDescent="0.25">
      <c r="A108" s="8">
        <v>46006</v>
      </c>
      <c r="B108" s="4">
        <f t="shared" si="15"/>
        <v>107</v>
      </c>
      <c r="C108" s="4" t="s">
        <v>13</v>
      </c>
      <c r="D108" s="6" t="s">
        <v>18</v>
      </c>
      <c r="E108" s="6" t="s">
        <v>15</v>
      </c>
      <c r="F108" s="6" t="s">
        <v>68</v>
      </c>
      <c r="G108" s="6" t="s">
        <v>211</v>
      </c>
      <c r="H108" s="16" t="s">
        <v>300</v>
      </c>
    </row>
    <row r="109" spans="1:8" ht="30" x14ac:dyDescent="0.25">
      <c r="A109" s="8">
        <v>46006</v>
      </c>
      <c r="B109" s="4">
        <f t="shared" ref="B109:B115" si="16">B108+1</f>
        <v>108</v>
      </c>
      <c r="C109" s="4" t="s">
        <v>13</v>
      </c>
      <c r="D109" s="6" t="s">
        <v>18</v>
      </c>
      <c r="E109" s="6" t="s">
        <v>15</v>
      </c>
      <c r="F109" s="6" t="s">
        <v>68</v>
      </c>
      <c r="G109" s="6" t="s">
        <v>213</v>
      </c>
      <c r="H109" s="16" t="s">
        <v>301</v>
      </c>
    </row>
    <row r="110" spans="1:8" ht="30" x14ac:dyDescent="0.25">
      <c r="A110" s="8">
        <v>46006</v>
      </c>
      <c r="B110" s="4">
        <f t="shared" si="16"/>
        <v>109</v>
      </c>
      <c r="C110" s="4" t="s">
        <v>13</v>
      </c>
      <c r="D110" s="6" t="s">
        <v>18</v>
      </c>
      <c r="E110" s="6" t="s">
        <v>15</v>
      </c>
      <c r="F110" s="6" t="s">
        <v>68</v>
      </c>
      <c r="G110" s="6" t="s">
        <v>46</v>
      </c>
      <c r="H110" s="16" t="s">
        <v>302</v>
      </c>
    </row>
    <row r="111" spans="1:8" ht="30" x14ac:dyDescent="0.25">
      <c r="A111" s="8">
        <v>46006</v>
      </c>
      <c r="B111" s="4">
        <f t="shared" si="16"/>
        <v>110</v>
      </c>
      <c r="C111" s="4" t="s">
        <v>13</v>
      </c>
      <c r="D111" s="6" t="s">
        <v>18</v>
      </c>
      <c r="E111" s="6" t="s">
        <v>15</v>
      </c>
      <c r="F111" s="6" t="s">
        <v>68</v>
      </c>
      <c r="G111" s="6" t="s">
        <v>54</v>
      </c>
      <c r="H111" s="16" t="s">
        <v>303</v>
      </c>
    </row>
    <row r="112" spans="1:8" ht="30" x14ac:dyDescent="0.25">
      <c r="A112" s="8">
        <v>46006</v>
      </c>
      <c r="B112" s="4">
        <f t="shared" si="16"/>
        <v>111</v>
      </c>
      <c r="C112" s="4" t="s">
        <v>13</v>
      </c>
      <c r="D112" s="6" t="s">
        <v>18</v>
      </c>
      <c r="E112" s="6" t="s">
        <v>15</v>
      </c>
      <c r="F112" s="6" t="s">
        <v>306</v>
      </c>
      <c r="G112" s="6" t="s">
        <v>46</v>
      </c>
      <c r="H112" s="16" t="s">
        <v>302</v>
      </c>
    </row>
    <row r="113" spans="1:8" x14ac:dyDescent="0.25">
      <c r="A113" s="8">
        <v>46006</v>
      </c>
      <c r="B113" s="4">
        <f t="shared" si="16"/>
        <v>112</v>
      </c>
      <c r="C113" s="4" t="s">
        <v>13</v>
      </c>
      <c r="D113" s="6" t="s">
        <v>18</v>
      </c>
      <c r="E113" s="6" t="s">
        <v>15</v>
      </c>
      <c r="F113" s="6" t="s">
        <v>306</v>
      </c>
      <c r="G113" s="6" t="s">
        <v>221</v>
      </c>
      <c r="H113" s="16" t="s">
        <v>307</v>
      </c>
    </row>
    <row r="114" spans="1:8" x14ac:dyDescent="0.25">
      <c r="A114" s="8">
        <v>46006</v>
      </c>
      <c r="B114" s="4">
        <f t="shared" si="16"/>
        <v>113</v>
      </c>
      <c r="C114" s="4" t="s">
        <v>13</v>
      </c>
      <c r="D114" s="6" t="s">
        <v>18</v>
      </c>
      <c r="E114" s="6" t="s">
        <v>15</v>
      </c>
      <c r="F114" s="6" t="s">
        <v>306</v>
      </c>
      <c r="G114" s="6" t="s">
        <v>249</v>
      </c>
      <c r="H114" s="16" t="s">
        <v>289</v>
      </c>
    </row>
    <row r="115" spans="1:8" x14ac:dyDescent="0.25">
      <c r="A115" s="9">
        <v>46006</v>
      </c>
      <c r="B115" s="3">
        <f t="shared" si="16"/>
        <v>114</v>
      </c>
      <c r="C115" s="3" t="s">
        <v>13</v>
      </c>
      <c r="D115" s="5" t="s">
        <v>18</v>
      </c>
      <c r="E115" s="6" t="s">
        <v>15</v>
      </c>
      <c r="F115" s="5" t="s">
        <v>306</v>
      </c>
      <c r="G115" s="5" t="s">
        <v>218</v>
      </c>
      <c r="H115" s="15" t="s">
        <v>289</v>
      </c>
    </row>
    <row r="116" spans="1:8" ht="45" x14ac:dyDescent="0.25">
      <c r="A116" s="8">
        <v>46028</v>
      </c>
      <c r="B116" s="4">
        <f>B115+1</f>
        <v>115</v>
      </c>
      <c r="C116" s="4" t="s">
        <v>13</v>
      </c>
      <c r="D116" s="6" t="s">
        <v>18</v>
      </c>
      <c r="E116" s="6" t="s">
        <v>15</v>
      </c>
      <c r="F116" s="6" t="s">
        <v>34</v>
      </c>
      <c r="G116" s="6" t="s">
        <v>213</v>
      </c>
      <c r="H116" s="16" t="s">
        <v>308</v>
      </c>
    </row>
    <row r="117" spans="1:8" ht="30" x14ac:dyDescent="0.25">
      <c r="A117" s="8">
        <v>46028</v>
      </c>
      <c r="B117" s="4">
        <f>B116+1</f>
        <v>116</v>
      </c>
      <c r="C117" s="4" t="s">
        <v>13</v>
      </c>
      <c r="D117" s="6" t="s">
        <v>18</v>
      </c>
      <c r="E117" s="6" t="s">
        <v>15</v>
      </c>
      <c r="F117" s="6" t="s">
        <v>34</v>
      </c>
      <c r="G117" s="6" t="s">
        <v>213</v>
      </c>
      <c r="H117" s="16" t="s">
        <v>309</v>
      </c>
    </row>
    <row r="118" spans="1:8" ht="30" x14ac:dyDescent="0.25">
      <c r="A118" s="9">
        <v>46028</v>
      </c>
      <c r="B118" s="3">
        <f t="shared" ref="B118:B126" si="17">B117+1</f>
        <v>117</v>
      </c>
      <c r="C118" s="3" t="s">
        <v>13</v>
      </c>
      <c r="D118" s="5" t="s">
        <v>18</v>
      </c>
      <c r="E118" s="6" t="s">
        <v>15</v>
      </c>
      <c r="F118" s="5" t="s">
        <v>34</v>
      </c>
      <c r="G118" s="5" t="s">
        <v>46</v>
      </c>
      <c r="H118" s="15" t="s">
        <v>310</v>
      </c>
    </row>
    <row r="119" spans="1:8" ht="30" x14ac:dyDescent="0.25">
      <c r="A119" s="9">
        <v>46028</v>
      </c>
      <c r="B119" s="3">
        <f t="shared" si="17"/>
        <v>118</v>
      </c>
      <c r="C119" s="3" t="s">
        <v>13</v>
      </c>
      <c r="D119" s="5" t="s">
        <v>18</v>
      </c>
      <c r="E119" s="6" t="s">
        <v>15</v>
      </c>
      <c r="F119" s="5" t="s">
        <v>34</v>
      </c>
      <c r="G119" s="5" t="s">
        <v>218</v>
      </c>
      <c r="H119" s="15" t="s">
        <v>311</v>
      </c>
    </row>
    <row r="120" spans="1:8" ht="30" x14ac:dyDescent="0.25">
      <c r="A120" s="9">
        <v>46028</v>
      </c>
      <c r="B120" s="3">
        <f t="shared" si="17"/>
        <v>119</v>
      </c>
      <c r="C120" s="3" t="s">
        <v>13</v>
      </c>
      <c r="D120" s="5" t="s">
        <v>18</v>
      </c>
      <c r="E120" s="6" t="s">
        <v>15</v>
      </c>
      <c r="F120" s="5" t="s">
        <v>75</v>
      </c>
      <c r="G120" s="5" t="s">
        <v>213</v>
      </c>
      <c r="H120" s="15" t="s">
        <v>314</v>
      </c>
    </row>
    <row r="121" spans="1:8" ht="45" x14ac:dyDescent="0.25">
      <c r="A121" s="9">
        <v>46028</v>
      </c>
      <c r="B121" s="3">
        <f t="shared" si="17"/>
        <v>120</v>
      </c>
      <c r="C121" s="3" t="s">
        <v>13</v>
      </c>
      <c r="D121" s="5" t="s">
        <v>18</v>
      </c>
      <c r="E121" s="6" t="s">
        <v>15</v>
      </c>
      <c r="F121" s="5" t="s">
        <v>75</v>
      </c>
      <c r="G121" s="5" t="s">
        <v>54</v>
      </c>
      <c r="H121" s="15" t="s">
        <v>315</v>
      </c>
    </row>
    <row r="122" spans="1:8" x14ac:dyDescent="0.25">
      <c r="A122" s="9">
        <v>46028</v>
      </c>
      <c r="B122" s="3">
        <f t="shared" si="17"/>
        <v>121</v>
      </c>
      <c r="C122" s="3" t="s">
        <v>13</v>
      </c>
      <c r="D122" s="5" t="s">
        <v>18</v>
      </c>
      <c r="E122" s="6" t="s">
        <v>15</v>
      </c>
      <c r="F122" s="5" t="s">
        <v>75</v>
      </c>
      <c r="G122" s="5" t="s">
        <v>221</v>
      </c>
      <c r="H122" s="15" t="s">
        <v>316</v>
      </c>
    </row>
    <row r="123" spans="1:8" ht="30" x14ac:dyDescent="0.25">
      <c r="A123" s="9">
        <v>46028</v>
      </c>
      <c r="B123" s="3">
        <f t="shared" si="17"/>
        <v>122</v>
      </c>
      <c r="C123" s="3" t="s">
        <v>13</v>
      </c>
      <c r="D123" s="5" t="s">
        <v>18</v>
      </c>
      <c r="E123" s="6" t="s">
        <v>15</v>
      </c>
      <c r="F123" s="5" t="s">
        <v>75</v>
      </c>
      <c r="G123" s="5" t="s">
        <v>46</v>
      </c>
      <c r="H123" s="15" t="s">
        <v>310</v>
      </c>
    </row>
    <row r="124" spans="1:8" x14ac:dyDescent="0.25">
      <c r="A124" s="9">
        <v>46028</v>
      </c>
      <c r="B124" s="3">
        <f t="shared" si="17"/>
        <v>123</v>
      </c>
      <c r="C124" s="3" t="s">
        <v>13</v>
      </c>
      <c r="D124" s="5" t="s">
        <v>18</v>
      </c>
      <c r="E124" s="6" t="s">
        <v>15</v>
      </c>
      <c r="F124" s="5" t="s">
        <v>75</v>
      </c>
      <c r="G124" s="5" t="s">
        <v>211</v>
      </c>
      <c r="H124" s="15" t="s">
        <v>224</v>
      </c>
    </row>
    <row r="125" spans="1:8" x14ac:dyDescent="0.25">
      <c r="A125" s="9">
        <v>46028</v>
      </c>
      <c r="B125" s="3">
        <f t="shared" si="17"/>
        <v>124</v>
      </c>
      <c r="C125" s="3" t="s">
        <v>13</v>
      </c>
      <c r="D125" s="5" t="s">
        <v>18</v>
      </c>
      <c r="E125" s="6" t="s">
        <v>15</v>
      </c>
      <c r="F125" s="5" t="s">
        <v>75</v>
      </c>
      <c r="G125" s="5" t="s">
        <v>211</v>
      </c>
      <c r="H125" s="15" t="s">
        <v>317</v>
      </c>
    </row>
    <row r="126" spans="1:8" ht="45" x14ac:dyDescent="0.25">
      <c r="A126" s="8">
        <v>46028</v>
      </c>
      <c r="B126" s="3">
        <f t="shared" si="17"/>
        <v>125</v>
      </c>
      <c r="C126" s="4" t="s">
        <v>13</v>
      </c>
      <c r="D126" s="6" t="s">
        <v>18</v>
      </c>
      <c r="E126" s="6" t="s">
        <v>15</v>
      </c>
      <c r="F126" s="5" t="s">
        <v>75</v>
      </c>
      <c r="G126" s="6" t="s">
        <v>46</v>
      </c>
      <c r="H126" s="16" t="s">
        <v>318</v>
      </c>
    </row>
    <row r="127" spans="1:8" ht="30" x14ac:dyDescent="0.25">
      <c r="A127" s="9">
        <v>46028</v>
      </c>
      <c r="B127" s="3">
        <f t="shared" ref="B127:B128" si="18">B126+1</f>
        <v>126</v>
      </c>
      <c r="C127" s="3" t="s">
        <v>13</v>
      </c>
      <c r="D127" s="5" t="s">
        <v>18</v>
      </c>
      <c r="E127" s="6" t="s">
        <v>15</v>
      </c>
      <c r="F127" s="5" t="s">
        <v>75</v>
      </c>
      <c r="G127" s="6" t="s">
        <v>46</v>
      </c>
      <c r="H127" s="15" t="s">
        <v>319</v>
      </c>
    </row>
    <row r="128" spans="1:8" ht="30" x14ac:dyDescent="0.25">
      <c r="A128" s="9">
        <v>46028</v>
      </c>
      <c r="B128" s="3">
        <f t="shared" si="18"/>
        <v>127</v>
      </c>
      <c r="C128" s="3" t="s">
        <v>13</v>
      </c>
      <c r="D128" s="5" t="s">
        <v>18</v>
      </c>
      <c r="E128" s="6" t="s">
        <v>15</v>
      </c>
      <c r="F128" s="5" t="s">
        <v>75</v>
      </c>
      <c r="G128" s="5" t="s">
        <v>320</v>
      </c>
      <c r="H128" s="15" t="s">
        <v>321</v>
      </c>
    </row>
    <row r="129" spans="1:8" x14ac:dyDescent="0.25">
      <c r="A129" s="8">
        <v>46042</v>
      </c>
      <c r="B129" s="4">
        <f>B128+1</f>
        <v>128</v>
      </c>
      <c r="C129" s="4" t="s">
        <v>162</v>
      </c>
      <c r="D129" s="6" t="s">
        <v>107</v>
      </c>
      <c r="E129" s="6" t="s">
        <v>163</v>
      </c>
      <c r="F129" s="6" t="s">
        <v>168</v>
      </c>
      <c r="G129" s="6" t="s">
        <v>221</v>
      </c>
      <c r="H129" s="16" t="s">
        <v>344</v>
      </c>
    </row>
    <row r="130" spans="1:8" x14ac:dyDescent="0.25">
      <c r="A130" s="9">
        <v>46042</v>
      </c>
      <c r="B130" s="3">
        <f>B129+1</f>
        <v>129</v>
      </c>
      <c r="C130" s="3" t="s">
        <v>162</v>
      </c>
      <c r="D130" s="5" t="s">
        <v>107</v>
      </c>
      <c r="E130" s="6" t="s">
        <v>163</v>
      </c>
      <c r="F130" s="5" t="s">
        <v>168</v>
      </c>
      <c r="G130" s="5" t="s">
        <v>221</v>
      </c>
      <c r="H130" s="15" t="s">
        <v>345</v>
      </c>
    </row>
    <row r="131" spans="1:8" x14ac:dyDescent="0.25">
      <c r="A131" s="9">
        <v>46042</v>
      </c>
      <c r="B131" s="3">
        <f t="shared" ref="B131:B133" si="19">B130+1</f>
        <v>130</v>
      </c>
      <c r="C131" s="3" t="s">
        <v>162</v>
      </c>
      <c r="D131" s="5" t="s">
        <v>107</v>
      </c>
      <c r="E131" s="6" t="s">
        <v>163</v>
      </c>
      <c r="F131" s="5" t="s">
        <v>168</v>
      </c>
      <c r="G131" s="5" t="s">
        <v>221</v>
      </c>
      <c r="H131" s="15" t="s">
        <v>348</v>
      </c>
    </row>
    <row r="132" spans="1:8" x14ac:dyDescent="0.25">
      <c r="A132" s="9">
        <v>46042</v>
      </c>
      <c r="B132" s="3">
        <f t="shared" si="19"/>
        <v>131</v>
      </c>
      <c r="C132" s="3" t="s">
        <v>162</v>
      </c>
      <c r="D132" s="5" t="s">
        <v>107</v>
      </c>
      <c r="E132" s="6" t="s">
        <v>163</v>
      </c>
      <c r="F132" s="5" t="s">
        <v>168</v>
      </c>
      <c r="G132" s="5" t="s">
        <v>213</v>
      </c>
      <c r="H132" s="15" t="s">
        <v>346</v>
      </c>
    </row>
    <row r="133" spans="1:8" ht="30" x14ac:dyDescent="0.25">
      <c r="A133" s="9">
        <v>46042</v>
      </c>
      <c r="B133" s="3">
        <f t="shared" si="19"/>
        <v>132</v>
      </c>
      <c r="C133" s="3" t="s">
        <v>162</v>
      </c>
      <c r="D133" s="5" t="s">
        <v>107</v>
      </c>
      <c r="E133" s="6" t="s">
        <v>163</v>
      </c>
      <c r="F133" s="5" t="s">
        <v>168</v>
      </c>
      <c r="G133" s="5" t="s">
        <v>213</v>
      </c>
      <c r="H133" s="15" t="s">
        <v>347</v>
      </c>
    </row>
    <row r="134" spans="1:8" x14ac:dyDescent="0.25">
      <c r="A134" s="8">
        <v>46042</v>
      </c>
      <c r="B134" s="4">
        <f t="shared" ref="B134:B140" si="20">B133+1</f>
        <v>133</v>
      </c>
      <c r="C134" s="4" t="s">
        <v>162</v>
      </c>
      <c r="D134" s="6" t="s">
        <v>107</v>
      </c>
      <c r="E134" s="6" t="s">
        <v>163</v>
      </c>
      <c r="F134" s="6" t="s">
        <v>166</v>
      </c>
      <c r="G134" s="6" t="s">
        <v>221</v>
      </c>
      <c r="H134" s="16" t="s">
        <v>349</v>
      </c>
    </row>
    <row r="135" spans="1:8" x14ac:dyDescent="0.25">
      <c r="A135" s="8">
        <v>46042</v>
      </c>
      <c r="B135" s="4">
        <f t="shared" si="20"/>
        <v>134</v>
      </c>
      <c r="C135" s="4" t="s">
        <v>162</v>
      </c>
      <c r="D135" s="6" t="s">
        <v>107</v>
      </c>
      <c r="E135" s="6" t="s">
        <v>163</v>
      </c>
      <c r="F135" s="6" t="s">
        <v>166</v>
      </c>
      <c r="G135" s="6" t="s">
        <v>221</v>
      </c>
      <c r="H135" s="16" t="s">
        <v>350</v>
      </c>
    </row>
    <row r="136" spans="1:8" x14ac:dyDescent="0.25">
      <c r="A136" s="8">
        <v>46049</v>
      </c>
      <c r="B136" s="4">
        <f t="shared" si="20"/>
        <v>135</v>
      </c>
      <c r="C136" s="18" t="s">
        <v>183</v>
      </c>
      <c r="D136" s="6" t="s">
        <v>107</v>
      </c>
      <c r="E136" s="6" t="s">
        <v>163</v>
      </c>
      <c r="F136" s="6" t="s">
        <v>188</v>
      </c>
      <c r="G136" s="6" t="s">
        <v>211</v>
      </c>
      <c r="H136" s="16" t="s">
        <v>351</v>
      </c>
    </row>
    <row r="137" spans="1:8" ht="30" x14ac:dyDescent="0.25">
      <c r="A137" s="8">
        <v>46049</v>
      </c>
      <c r="B137" s="4">
        <f t="shared" si="20"/>
        <v>136</v>
      </c>
      <c r="C137" s="4" t="s">
        <v>162</v>
      </c>
      <c r="D137" s="6" t="s">
        <v>107</v>
      </c>
      <c r="E137" s="6" t="s">
        <v>163</v>
      </c>
      <c r="F137" s="6" t="s">
        <v>168</v>
      </c>
      <c r="G137" s="6" t="s">
        <v>46</v>
      </c>
      <c r="H137" s="16" t="s">
        <v>354</v>
      </c>
    </row>
    <row r="138" spans="1:8" ht="30" x14ac:dyDescent="0.25">
      <c r="A138" s="8">
        <v>46049</v>
      </c>
      <c r="B138" s="4">
        <f t="shared" si="20"/>
        <v>137</v>
      </c>
      <c r="C138" s="4" t="s">
        <v>162</v>
      </c>
      <c r="D138" s="6" t="s">
        <v>107</v>
      </c>
      <c r="E138" s="6" t="s">
        <v>163</v>
      </c>
      <c r="F138" s="6" t="s">
        <v>168</v>
      </c>
      <c r="G138" s="6" t="s">
        <v>46</v>
      </c>
      <c r="H138" s="16" t="s">
        <v>355</v>
      </c>
    </row>
    <row r="139" spans="1:8" ht="30" x14ac:dyDescent="0.25">
      <c r="A139" s="9">
        <v>46049</v>
      </c>
      <c r="B139" s="3">
        <f t="shared" si="20"/>
        <v>138</v>
      </c>
      <c r="C139" s="3" t="s">
        <v>162</v>
      </c>
      <c r="D139" s="5" t="s">
        <v>107</v>
      </c>
      <c r="E139" s="6" t="s">
        <v>163</v>
      </c>
      <c r="F139" s="5" t="s">
        <v>168</v>
      </c>
      <c r="G139" s="5" t="s">
        <v>46</v>
      </c>
      <c r="H139" s="15" t="s">
        <v>356</v>
      </c>
    </row>
    <row r="140" spans="1:8" ht="30" x14ac:dyDescent="0.25">
      <c r="A140" s="8">
        <v>46049</v>
      </c>
      <c r="B140" s="4">
        <f t="shared" si="20"/>
        <v>139</v>
      </c>
      <c r="C140" s="4" t="s">
        <v>162</v>
      </c>
      <c r="D140" s="6" t="s">
        <v>107</v>
      </c>
      <c r="E140" s="6" t="s">
        <v>163</v>
      </c>
      <c r="F140" s="6" t="s">
        <v>168</v>
      </c>
      <c r="G140" s="6" t="s">
        <v>46</v>
      </c>
      <c r="H140" s="16" t="s">
        <v>355</v>
      </c>
    </row>
    <row r="141" spans="1:8" ht="30" x14ac:dyDescent="0.25">
      <c r="A141" s="8">
        <v>46058</v>
      </c>
      <c r="B141" s="4">
        <f>B140+1</f>
        <v>140</v>
      </c>
      <c r="C141" s="4" t="s">
        <v>13</v>
      </c>
      <c r="D141" s="6" t="s">
        <v>18</v>
      </c>
      <c r="E141" s="6" t="s">
        <v>15</v>
      </c>
      <c r="F141" s="6" t="s">
        <v>61</v>
      </c>
      <c r="G141" s="6" t="s">
        <v>213</v>
      </c>
      <c r="H141" s="16" t="s">
        <v>359</v>
      </c>
    </row>
    <row r="142" spans="1:8" ht="30" x14ac:dyDescent="0.25">
      <c r="A142" s="9">
        <v>46058</v>
      </c>
      <c r="B142" s="3">
        <f t="shared" ref="B142:B147" si="21">B141+1</f>
        <v>141</v>
      </c>
      <c r="C142" s="3" t="s">
        <v>13</v>
      </c>
      <c r="D142" s="5" t="s">
        <v>18</v>
      </c>
      <c r="E142" s="6" t="s">
        <v>15</v>
      </c>
      <c r="F142" s="5" t="s">
        <v>61</v>
      </c>
      <c r="G142" s="5" t="s">
        <v>221</v>
      </c>
      <c r="H142" s="15" t="s">
        <v>360</v>
      </c>
    </row>
    <row r="143" spans="1:8" ht="30" x14ac:dyDescent="0.25">
      <c r="A143" s="9">
        <v>46058</v>
      </c>
      <c r="B143" s="3">
        <f t="shared" si="21"/>
        <v>142</v>
      </c>
      <c r="C143" s="3" t="s">
        <v>13</v>
      </c>
      <c r="D143" s="5" t="s">
        <v>18</v>
      </c>
      <c r="E143" s="6" t="s">
        <v>15</v>
      </c>
      <c r="F143" s="5" t="s">
        <v>61</v>
      </c>
      <c r="G143" s="5" t="s">
        <v>221</v>
      </c>
      <c r="H143" s="15" t="s">
        <v>361</v>
      </c>
    </row>
    <row r="144" spans="1:8" ht="30" x14ac:dyDescent="0.25">
      <c r="A144" s="9">
        <v>46058</v>
      </c>
      <c r="B144" s="3">
        <f t="shared" si="21"/>
        <v>143</v>
      </c>
      <c r="C144" s="3" t="s">
        <v>13</v>
      </c>
      <c r="D144" s="5" t="s">
        <v>18</v>
      </c>
      <c r="E144" s="6" t="s">
        <v>15</v>
      </c>
      <c r="F144" s="5" t="s">
        <v>61</v>
      </c>
      <c r="G144" s="5" t="s">
        <v>221</v>
      </c>
      <c r="H144" s="15" t="s">
        <v>362</v>
      </c>
    </row>
    <row r="145" spans="1:8" ht="30" x14ac:dyDescent="0.25">
      <c r="A145" s="9">
        <v>46058</v>
      </c>
      <c r="B145" s="3">
        <f t="shared" si="21"/>
        <v>144</v>
      </c>
      <c r="C145" s="3" t="s">
        <v>13</v>
      </c>
      <c r="D145" s="5" t="s">
        <v>18</v>
      </c>
      <c r="E145" s="6" t="s">
        <v>15</v>
      </c>
      <c r="F145" s="5" t="s">
        <v>61</v>
      </c>
      <c r="G145" s="5" t="s">
        <v>211</v>
      </c>
      <c r="H145" s="15" t="s">
        <v>363</v>
      </c>
    </row>
    <row r="146" spans="1:8" ht="30" x14ac:dyDescent="0.25">
      <c r="A146" s="9">
        <v>46058</v>
      </c>
      <c r="B146" s="3">
        <f t="shared" si="21"/>
        <v>145</v>
      </c>
      <c r="C146" s="3" t="s">
        <v>13</v>
      </c>
      <c r="D146" s="5" t="s">
        <v>18</v>
      </c>
      <c r="E146" s="6" t="s">
        <v>15</v>
      </c>
      <c r="F146" s="5" t="s">
        <v>61</v>
      </c>
      <c r="G146" s="5" t="s">
        <v>211</v>
      </c>
      <c r="H146" s="15" t="s">
        <v>364</v>
      </c>
    </row>
    <row r="147" spans="1:8" ht="30" x14ac:dyDescent="0.25">
      <c r="A147" s="8">
        <v>46058</v>
      </c>
      <c r="B147" s="4">
        <f t="shared" si="21"/>
        <v>146</v>
      </c>
      <c r="C147" s="4" t="s">
        <v>13</v>
      </c>
      <c r="D147" s="6" t="s">
        <v>18</v>
      </c>
      <c r="E147" s="6" t="s">
        <v>15</v>
      </c>
      <c r="F147" s="6" t="s">
        <v>61</v>
      </c>
      <c r="G147" s="6" t="s">
        <v>46</v>
      </c>
      <c r="H147" s="16" t="s">
        <v>365</v>
      </c>
    </row>
    <row r="148" spans="1:8" ht="30" x14ac:dyDescent="0.25">
      <c r="A148" s="8">
        <v>46058</v>
      </c>
      <c r="B148" s="4">
        <f t="shared" ref="B148" si="22">B147+1</f>
        <v>147</v>
      </c>
      <c r="C148" s="4" t="s">
        <v>13</v>
      </c>
      <c r="D148" s="6" t="s">
        <v>18</v>
      </c>
      <c r="E148" s="6" t="s">
        <v>15</v>
      </c>
      <c r="F148" s="6" t="s">
        <v>61</v>
      </c>
      <c r="G148" s="6" t="s">
        <v>249</v>
      </c>
      <c r="H148" s="16" t="s">
        <v>366</v>
      </c>
    </row>
    <row r="149" spans="1:8" x14ac:dyDescent="0.25">
      <c r="A149" s="9">
        <v>46058</v>
      </c>
      <c r="B149" s="3">
        <f t="shared" ref="B149:B154" si="23">B148+1</f>
        <v>148</v>
      </c>
      <c r="C149" s="3" t="s">
        <v>13</v>
      </c>
      <c r="D149" s="5" t="s">
        <v>18</v>
      </c>
      <c r="E149" s="6" t="s">
        <v>15</v>
      </c>
      <c r="F149" s="5" t="s">
        <v>61</v>
      </c>
      <c r="G149" s="5" t="s">
        <v>218</v>
      </c>
      <c r="H149" s="15" t="s">
        <v>367</v>
      </c>
    </row>
    <row r="150" spans="1:8" ht="45" x14ac:dyDescent="0.25">
      <c r="A150" s="9">
        <v>46058</v>
      </c>
      <c r="B150" s="3">
        <f t="shared" si="23"/>
        <v>149</v>
      </c>
      <c r="C150" s="3" t="s">
        <v>13</v>
      </c>
      <c r="D150" s="5" t="s">
        <v>18</v>
      </c>
      <c r="E150" s="6" t="s">
        <v>15</v>
      </c>
      <c r="F150" s="5" t="s">
        <v>61</v>
      </c>
      <c r="G150" s="5" t="s">
        <v>54</v>
      </c>
      <c r="H150" s="15" t="s">
        <v>368</v>
      </c>
    </row>
    <row r="151" spans="1:8" ht="30" x14ac:dyDescent="0.25">
      <c r="A151" s="9">
        <v>46058</v>
      </c>
      <c r="B151" s="3">
        <f t="shared" si="23"/>
        <v>150</v>
      </c>
      <c r="C151" s="3" t="s">
        <v>13</v>
      </c>
      <c r="D151" s="5" t="s">
        <v>18</v>
      </c>
      <c r="E151" s="6" t="s">
        <v>79</v>
      </c>
      <c r="F151" s="5" t="s">
        <v>80</v>
      </c>
      <c r="G151" s="5" t="s">
        <v>213</v>
      </c>
      <c r="H151" s="15" t="s">
        <v>369</v>
      </c>
    </row>
    <row r="152" spans="1:8" ht="30" x14ac:dyDescent="0.25">
      <c r="A152" s="9">
        <v>46058</v>
      </c>
      <c r="B152" s="3">
        <f t="shared" si="23"/>
        <v>151</v>
      </c>
      <c r="C152" s="3" t="s">
        <v>13</v>
      </c>
      <c r="D152" s="5" t="s">
        <v>18</v>
      </c>
      <c r="E152" s="6" t="s">
        <v>79</v>
      </c>
      <c r="F152" s="5" t="s">
        <v>80</v>
      </c>
      <c r="G152" s="5" t="s">
        <v>221</v>
      </c>
      <c r="H152" s="15" t="s">
        <v>370</v>
      </c>
    </row>
    <row r="153" spans="1:8" ht="30" x14ac:dyDescent="0.25">
      <c r="A153" s="9">
        <v>46058</v>
      </c>
      <c r="B153" s="3">
        <f t="shared" si="23"/>
        <v>152</v>
      </c>
      <c r="C153" s="3" t="s">
        <v>13</v>
      </c>
      <c r="D153" s="5" t="s">
        <v>18</v>
      </c>
      <c r="E153" s="6" t="s">
        <v>79</v>
      </c>
      <c r="F153" s="5" t="s">
        <v>80</v>
      </c>
      <c r="G153" s="5" t="s">
        <v>211</v>
      </c>
      <c r="H153" s="15" t="s">
        <v>371</v>
      </c>
    </row>
    <row r="154" spans="1:8" ht="30" x14ac:dyDescent="0.25">
      <c r="A154" s="8">
        <v>46058</v>
      </c>
      <c r="B154" s="4">
        <f t="shared" si="23"/>
        <v>153</v>
      </c>
      <c r="C154" s="4" t="s">
        <v>13</v>
      </c>
      <c r="D154" s="6" t="s">
        <v>18</v>
      </c>
      <c r="E154" s="6" t="s">
        <v>79</v>
      </c>
      <c r="F154" s="5" t="s">
        <v>80</v>
      </c>
      <c r="G154" s="6" t="s">
        <v>46</v>
      </c>
      <c r="H154" s="16" t="s">
        <v>372</v>
      </c>
    </row>
    <row r="155" spans="1:8" x14ac:dyDescent="0.25">
      <c r="A155" s="9">
        <v>46058</v>
      </c>
      <c r="B155" s="3">
        <f t="shared" ref="B155:B161" si="24">B154+1</f>
        <v>154</v>
      </c>
      <c r="C155" s="3" t="s">
        <v>13</v>
      </c>
      <c r="D155" s="5" t="s">
        <v>18</v>
      </c>
      <c r="E155" s="6" t="s">
        <v>79</v>
      </c>
      <c r="F155" s="5" t="s">
        <v>80</v>
      </c>
      <c r="G155" s="5" t="s">
        <v>249</v>
      </c>
      <c r="H155" s="15" t="s">
        <v>373</v>
      </c>
    </row>
    <row r="156" spans="1:8" ht="30" x14ac:dyDescent="0.25">
      <c r="A156" s="9">
        <v>46058</v>
      </c>
      <c r="B156" s="3">
        <f t="shared" si="24"/>
        <v>155</v>
      </c>
      <c r="C156" s="3" t="s">
        <v>13</v>
      </c>
      <c r="D156" s="5" t="s">
        <v>18</v>
      </c>
      <c r="E156" s="6" t="s">
        <v>79</v>
      </c>
      <c r="F156" s="5" t="s">
        <v>80</v>
      </c>
      <c r="G156" s="5" t="s">
        <v>218</v>
      </c>
      <c r="H156" s="15" t="s">
        <v>311</v>
      </c>
    </row>
    <row r="157" spans="1:8" ht="45" x14ac:dyDescent="0.25">
      <c r="A157" s="9">
        <v>46058</v>
      </c>
      <c r="B157" s="3">
        <f t="shared" si="24"/>
        <v>156</v>
      </c>
      <c r="C157" s="3" t="s">
        <v>13</v>
      </c>
      <c r="D157" s="5" t="s">
        <v>18</v>
      </c>
      <c r="E157" s="6" t="s">
        <v>79</v>
      </c>
      <c r="F157" s="5" t="s">
        <v>80</v>
      </c>
      <c r="G157" s="5" t="s">
        <v>54</v>
      </c>
      <c r="H157" s="15" t="s">
        <v>374</v>
      </c>
    </row>
    <row r="158" spans="1:8" ht="30" x14ac:dyDescent="0.25">
      <c r="A158" s="9">
        <v>46058</v>
      </c>
      <c r="B158" s="3">
        <f t="shared" si="24"/>
        <v>157</v>
      </c>
      <c r="C158" s="3" t="s">
        <v>13</v>
      </c>
      <c r="D158" s="5" t="s">
        <v>18</v>
      </c>
      <c r="E158" s="6" t="s">
        <v>79</v>
      </c>
      <c r="F158" s="5" t="s">
        <v>81</v>
      </c>
      <c r="G158" s="5" t="s">
        <v>221</v>
      </c>
      <c r="H158" s="15" t="s">
        <v>370</v>
      </c>
    </row>
    <row r="159" spans="1:8" ht="30" x14ac:dyDescent="0.25">
      <c r="A159" s="9">
        <v>46058</v>
      </c>
      <c r="B159" s="3">
        <f t="shared" si="24"/>
        <v>158</v>
      </c>
      <c r="C159" s="3" t="s">
        <v>13</v>
      </c>
      <c r="D159" s="5" t="s">
        <v>18</v>
      </c>
      <c r="E159" s="6" t="s">
        <v>79</v>
      </c>
      <c r="F159" s="5" t="s">
        <v>81</v>
      </c>
      <c r="G159" s="5" t="s">
        <v>211</v>
      </c>
      <c r="H159" s="15" t="s">
        <v>375</v>
      </c>
    </row>
    <row r="160" spans="1:8" ht="30" x14ac:dyDescent="0.25">
      <c r="A160" s="9">
        <v>46058</v>
      </c>
      <c r="B160" s="3">
        <f t="shared" si="24"/>
        <v>159</v>
      </c>
      <c r="C160" s="3" t="s">
        <v>13</v>
      </c>
      <c r="D160" s="5" t="s">
        <v>18</v>
      </c>
      <c r="E160" s="6" t="s">
        <v>79</v>
      </c>
      <c r="F160" s="5" t="s">
        <v>81</v>
      </c>
      <c r="G160" s="5" t="s">
        <v>376</v>
      </c>
      <c r="H160" s="15" t="s">
        <v>377</v>
      </c>
    </row>
    <row r="161" spans="1:8" ht="30" x14ac:dyDescent="0.25">
      <c r="A161" s="8">
        <v>46058</v>
      </c>
      <c r="B161" s="4">
        <f t="shared" si="24"/>
        <v>160</v>
      </c>
      <c r="C161" s="4" t="s">
        <v>13</v>
      </c>
      <c r="D161" s="6" t="s">
        <v>18</v>
      </c>
      <c r="E161" s="6" t="s">
        <v>79</v>
      </c>
      <c r="F161" s="5" t="s">
        <v>81</v>
      </c>
      <c r="G161" s="6" t="s">
        <v>376</v>
      </c>
      <c r="H161" s="16" t="s">
        <v>378</v>
      </c>
    </row>
    <row r="162" spans="1:8" ht="30" x14ac:dyDescent="0.25">
      <c r="A162" s="8">
        <v>46058</v>
      </c>
      <c r="B162" s="4">
        <f t="shared" ref="B162" si="25">B161+1</f>
        <v>161</v>
      </c>
      <c r="C162" s="4" t="s">
        <v>13</v>
      </c>
      <c r="D162" s="6" t="s">
        <v>18</v>
      </c>
      <c r="E162" s="6" t="s">
        <v>79</v>
      </c>
      <c r="F162" s="6" t="s">
        <v>81</v>
      </c>
      <c r="G162" s="6" t="s">
        <v>249</v>
      </c>
      <c r="H162" s="16" t="s">
        <v>379</v>
      </c>
    </row>
    <row r="163" spans="1:8" ht="45" x14ac:dyDescent="0.25">
      <c r="A163" s="8">
        <v>46058</v>
      </c>
      <c r="B163" s="4">
        <f t="shared" ref="B163" si="26">B162+1</f>
        <v>162</v>
      </c>
      <c r="C163" s="4" t="s">
        <v>13</v>
      </c>
      <c r="D163" s="6" t="s">
        <v>18</v>
      </c>
      <c r="E163" s="6" t="s">
        <v>79</v>
      </c>
      <c r="F163" s="6" t="s">
        <v>81</v>
      </c>
      <c r="G163" s="5" t="s">
        <v>54</v>
      </c>
      <c r="H163" s="15" t="s">
        <v>374</v>
      </c>
    </row>
    <row r="164" spans="1:8" ht="45" x14ac:dyDescent="0.25">
      <c r="A164" s="8">
        <v>46058</v>
      </c>
      <c r="B164" s="4">
        <f t="shared" ref="B164" si="27">B163+1</f>
        <v>163</v>
      </c>
      <c r="C164" s="4" t="s">
        <v>13</v>
      </c>
      <c r="D164" s="6" t="s">
        <v>18</v>
      </c>
      <c r="E164" s="6" t="s">
        <v>79</v>
      </c>
      <c r="F164" s="6" t="s">
        <v>82</v>
      </c>
      <c r="G164" s="6" t="s">
        <v>380</v>
      </c>
      <c r="H164" s="16" t="s">
        <v>381</v>
      </c>
    </row>
    <row r="165" spans="1:8" ht="30" x14ac:dyDescent="0.25">
      <c r="A165" s="9">
        <v>46058</v>
      </c>
      <c r="B165" s="3">
        <f t="shared" ref="B165:B171" si="28">B164+1</f>
        <v>164</v>
      </c>
      <c r="C165" s="3" t="s">
        <v>13</v>
      </c>
      <c r="D165" s="5" t="s">
        <v>18</v>
      </c>
      <c r="E165" s="6" t="s">
        <v>79</v>
      </c>
      <c r="F165" s="5" t="s">
        <v>82</v>
      </c>
      <c r="G165" s="5" t="s">
        <v>213</v>
      </c>
      <c r="H165" s="15" t="s">
        <v>382</v>
      </c>
    </row>
    <row r="166" spans="1:8" ht="30" x14ac:dyDescent="0.25">
      <c r="A166" s="9">
        <v>46058</v>
      </c>
      <c r="B166" s="3">
        <f t="shared" si="28"/>
        <v>165</v>
      </c>
      <c r="C166" s="3" t="s">
        <v>13</v>
      </c>
      <c r="D166" s="5" t="s">
        <v>18</v>
      </c>
      <c r="E166" s="6" t="s">
        <v>79</v>
      </c>
      <c r="F166" s="5" t="s">
        <v>82</v>
      </c>
      <c r="G166" s="5" t="s">
        <v>213</v>
      </c>
      <c r="H166" s="15" t="s">
        <v>383</v>
      </c>
    </row>
    <row r="167" spans="1:8" ht="45" x14ac:dyDescent="0.25">
      <c r="A167" s="9">
        <v>46058</v>
      </c>
      <c r="B167" s="3">
        <f t="shared" si="28"/>
        <v>166</v>
      </c>
      <c r="C167" s="3" t="s">
        <v>13</v>
      </c>
      <c r="D167" s="5" t="s">
        <v>18</v>
      </c>
      <c r="E167" s="6" t="s">
        <v>79</v>
      </c>
      <c r="F167" s="5" t="s">
        <v>82</v>
      </c>
      <c r="G167" s="5" t="s">
        <v>213</v>
      </c>
      <c r="H167" s="15" t="s">
        <v>384</v>
      </c>
    </row>
    <row r="168" spans="1:8" ht="30" x14ac:dyDescent="0.25">
      <c r="A168" s="9">
        <v>46058</v>
      </c>
      <c r="B168" s="3">
        <f t="shared" si="28"/>
        <v>167</v>
      </c>
      <c r="C168" s="3" t="s">
        <v>13</v>
      </c>
      <c r="D168" s="5" t="s">
        <v>18</v>
      </c>
      <c r="E168" s="6" t="s">
        <v>79</v>
      </c>
      <c r="F168" s="5" t="s">
        <v>82</v>
      </c>
      <c r="G168" s="5" t="s">
        <v>221</v>
      </c>
      <c r="H168" s="15" t="s">
        <v>370</v>
      </c>
    </row>
    <row r="169" spans="1:8" ht="30" x14ac:dyDescent="0.25">
      <c r="A169" s="9">
        <v>46058</v>
      </c>
      <c r="B169" s="3">
        <f t="shared" si="28"/>
        <v>168</v>
      </c>
      <c r="C169" s="3" t="s">
        <v>13</v>
      </c>
      <c r="D169" s="5" t="s">
        <v>18</v>
      </c>
      <c r="E169" s="6" t="s">
        <v>79</v>
      </c>
      <c r="F169" s="5" t="s">
        <v>82</v>
      </c>
      <c r="G169" s="5" t="s">
        <v>211</v>
      </c>
      <c r="H169" s="15" t="s">
        <v>375</v>
      </c>
    </row>
    <row r="170" spans="1:8" ht="30" x14ac:dyDescent="0.25">
      <c r="A170" s="9">
        <v>46058</v>
      </c>
      <c r="B170" s="3">
        <f t="shared" si="28"/>
        <v>169</v>
      </c>
      <c r="C170" s="3" t="s">
        <v>13</v>
      </c>
      <c r="D170" s="5" t="s">
        <v>18</v>
      </c>
      <c r="E170" s="6" t="s">
        <v>79</v>
      </c>
      <c r="F170" s="5" t="s">
        <v>82</v>
      </c>
      <c r="G170" s="6" t="s">
        <v>249</v>
      </c>
      <c r="H170" s="16" t="s">
        <v>379</v>
      </c>
    </row>
    <row r="171" spans="1:8" ht="30" x14ac:dyDescent="0.25">
      <c r="A171" s="9">
        <v>46058</v>
      </c>
      <c r="B171" s="3">
        <f t="shared" si="28"/>
        <v>170</v>
      </c>
      <c r="C171" s="3" t="s">
        <v>13</v>
      </c>
      <c r="D171" s="5" t="s">
        <v>18</v>
      </c>
      <c r="E171" s="6" t="s">
        <v>79</v>
      </c>
      <c r="F171" s="5" t="s">
        <v>82</v>
      </c>
      <c r="G171" s="5" t="s">
        <v>218</v>
      </c>
      <c r="H171" s="15" t="s">
        <v>385</v>
      </c>
    </row>
    <row r="172" spans="1:8" x14ac:dyDescent="0.25">
      <c r="H172"/>
    </row>
    <row r="173" spans="1:8" x14ac:dyDescent="0.25">
      <c r="H173"/>
    </row>
    <row r="174" spans="1:8" x14ac:dyDescent="0.25">
      <c r="H174"/>
    </row>
    <row r="175" spans="1:8" x14ac:dyDescent="0.25">
      <c r="H175"/>
    </row>
    <row r="176" spans="1:8" x14ac:dyDescent="0.25">
      <c r="H176"/>
    </row>
    <row r="177" spans="8:8" x14ac:dyDescent="0.25">
      <c r="H177"/>
    </row>
    <row r="178" spans="8:8" x14ac:dyDescent="0.25">
      <c r="H178"/>
    </row>
    <row r="179" spans="8:8" x14ac:dyDescent="0.25">
      <c r="H179"/>
    </row>
    <row r="180" spans="8:8" x14ac:dyDescent="0.25">
      <c r="H180"/>
    </row>
    <row r="181" spans="8:8" x14ac:dyDescent="0.25">
      <c r="H181"/>
    </row>
    <row r="182" spans="8:8" x14ac:dyDescent="0.25">
      <c r="H182"/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1CAD76A-BD13-4B98-B1B6-1DC25EF4A94C}">
          <x14:formula1>
            <xm:f>'Mapeamento Salas'!$D$6:$D$198</xm:f>
          </x14:formula1>
          <xm:sqref>F2:F171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711F-6811-49D0-B4A5-56209F7DD36E}">
  <dimension ref="A1:M199"/>
  <sheetViews>
    <sheetView topLeftCell="C138" zoomScale="85" zoomScaleNormal="85" workbookViewId="0">
      <selection activeCell="H164" sqref="H164"/>
    </sheetView>
  </sheetViews>
  <sheetFormatPr defaultRowHeight="15" x14ac:dyDescent="0.25"/>
  <cols>
    <col min="1" max="1" width="16.85546875" bestFit="1" customWidth="1"/>
    <col min="2" max="2" width="11.85546875" customWidth="1"/>
    <col min="3" max="3" width="10.42578125" bestFit="1" customWidth="1"/>
    <col min="4" max="4" width="32.28515625" customWidth="1"/>
    <col min="5" max="5" width="10.5703125" customWidth="1"/>
    <col min="6" max="6" width="8.5703125" customWidth="1"/>
    <col min="7" max="7" width="11.28515625" bestFit="1" customWidth="1"/>
    <col min="8" max="8" width="8.7109375" customWidth="1"/>
    <col min="9" max="9" width="19.5703125" bestFit="1" customWidth="1"/>
    <col min="10" max="10" width="11.28515625" customWidth="1"/>
    <col min="11" max="11" width="12.7109375" bestFit="1" customWidth="1"/>
    <col min="12" max="12" width="14.7109375" bestFit="1" customWidth="1"/>
    <col min="13" max="13" width="9.5703125" customWidth="1"/>
    <col min="14" max="14" width="20.140625" bestFit="1" customWidth="1"/>
  </cols>
  <sheetData>
    <row r="1" spans="1:13" ht="30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1" t="s">
        <v>392</v>
      </c>
      <c r="G1" s="11" t="s">
        <v>393</v>
      </c>
      <c r="H1" s="11" t="s">
        <v>386</v>
      </c>
      <c r="I1" s="11" t="s">
        <v>387</v>
      </c>
      <c r="J1" s="10" t="s">
        <v>391</v>
      </c>
      <c r="K1" s="10" t="s">
        <v>388</v>
      </c>
      <c r="L1" s="10" t="s">
        <v>389</v>
      </c>
      <c r="M1" s="10" t="s">
        <v>390</v>
      </c>
    </row>
    <row r="2" spans="1:13" x14ac:dyDescent="0.25">
      <c r="A2" s="18" t="s">
        <v>13</v>
      </c>
      <c r="B2" s="18" t="s">
        <v>107</v>
      </c>
      <c r="C2" s="18" t="s">
        <v>15</v>
      </c>
      <c r="D2" s="19" t="s">
        <v>113</v>
      </c>
      <c r="E2" s="18">
        <v>1</v>
      </c>
      <c r="F2" s="20" t="b">
        <v>1</v>
      </c>
      <c r="G2" s="20" t="b">
        <v>1</v>
      </c>
      <c r="H2" s="20" t="b">
        <v>1</v>
      </c>
      <c r="I2" s="18" t="str">
        <f>IF(Tabela24[[#This Row],[Federado]]=TRUE,"LIBERADO TRACKER","PENDENTE")</f>
        <v>LIBERADO TRACKER</v>
      </c>
      <c r="J2" s="20" t="b">
        <v>0</v>
      </c>
      <c r="K2" s="20" t="b">
        <v>0</v>
      </c>
      <c r="L2" s="20" t="b">
        <v>0</v>
      </c>
      <c r="M2" s="18" t="str">
        <f>IF(Tabela24[[#This Row],[Planta QR code]]=TRUE,"LIBERADO PARA OBRA","PENDENTE")</f>
        <v>PENDENTE</v>
      </c>
    </row>
    <row r="3" spans="1:13" x14ac:dyDescent="0.25">
      <c r="A3" s="18" t="s">
        <v>13</v>
      </c>
      <c r="B3" s="18" t="s">
        <v>107</v>
      </c>
      <c r="C3" s="18" t="s">
        <v>15</v>
      </c>
      <c r="D3" s="19" t="s">
        <v>111</v>
      </c>
      <c r="E3" s="18">
        <f>E2+1</f>
        <v>2</v>
      </c>
      <c r="F3" s="20" t="b">
        <v>1</v>
      </c>
      <c r="G3" s="20" t="b">
        <v>1</v>
      </c>
      <c r="H3" s="20" t="b">
        <v>1</v>
      </c>
      <c r="I3" s="18" t="str">
        <f>IF(Tabela24[[#This Row],[Federado]]=TRUE,"LIBERADO TRACKER","PENDENTE")</f>
        <v>LIBERADO TRACKER</v>
      </c>
      <c r="J3" s="20" t="b">
        <v>0</v>
      </c>
      <c r="K3" s="20" t="b">
        <v>0</v>
      </c>
      <c r="L3" s="20" t="b">
        <v>0</v>
      </c>
      <c r="M3" s="18" t="str">
        <f>IF(Tabela24[[#This Row],[Planta QR code]]=TRUE,"LIBERADO PARA OBRA","PENDENTE")</f>
        <v>PENDENTE</v>
      </c>
    </row>
    <row r="4" spans="1:13" x14ac:dyDescent="0.25">
      <c r="A4" s="18" t="s">
        <v>13</v>
      </c>
      <c r="B4" s="18" t="s">
        <v>107</v>
      </c>
      <c r="C4" s="18" t="s">
        <v>15</v>
      </c>
      <c r="D4" s="19" t="s">
        <v>112</v>
      </c>
      <c r="E4" s="18">
        <f>E3+1</f>
        <v>3</v>
      </c>
      <c r="F4" s="20" t="b">
        <v>1</v>
      </c>
      <c r="G4" s="20" t="b">
        <v>1</v>
      </c>
      <c r="H4" s="20" t="b">
        <v>1</v>
      </c>
      <c r="I4" s="18" t="str">
        <f>IF(Tabela24[[#This Row],[Federado]]=TRUE,"LIBERADO TRACKER","PENDENTE")</f>
        <v>LIBERADO TRACKER</v>
      </c>
      <c r="J4" s="20" t="b">
        <v>0</v>
      </c>
      <c r="K4" s="20" t="b">
        <v>0</v>
      </c>
      <c r="L4" s="20" t="b">
        <v>0</v>
      </c>
      <c r="M4" s="18" t="str">
        <f>IF(Tabela24[[#This Row],[Planta QR code]]=TRUE,"LIBERADO PARA OBRA","PENDENTE")</f>
        <v>PENDENTE</v>
      </c>
    </row>
    <row r="5" spans="1:13" x14ac:dyDescent="0.25">
      <c r="A5" s="18" t="s">
        <v>13</v>
      </c>
      <c r="B5" s="18" t="s">
        <v>107</v>
      </c>
      <c r="C5" s="18" t="s">
        <v>15</v>
      </c>
      <c r="D5" s="19" t="s">
        <v>110</v>
      </c>
      <c r="E5" s="18">
        <f t="shared" ref="E5:E68" si="0">E4+1</f>
        <v>4</v>
      </c>
      <c r="F5" s="20" t="b">
        <v>1</v>
      </c>
      <c r="G5" s="20" t="b">
        <v>1</v>
      </c>
      <c r="H5" s="20" t="b">
        <v>1</v>
      </c>
      <c r="I5" s="18" t="str">
        <f>IF(Tabela24[[#This Row],[Federado]]=TRUE,"LIBERADO TRACKER","PENDENTE")</f>
        <v>LIBERADO TRACKER</v>
      </c>
      <c r="J5" s="20" t="b">
        <v>0</v>
      </c>
      <c r="K5" s="20" t="b">
        <v>0</v>
      </c>
      <c r="L5" s="20" t="b">
        <v>0</v>
      </c>
      <c r="M5" s="18" t="str">
        <f>IF(Tabela24[[#This Row],[Planta QR code]]=TRUE,"LIBERADO PARA OBRA","PENDENTE")</f>
        <v>PENDENTE</v>
      </c>
    </row>
    <row r="6" spans="1:13" x14ac:dyDescent="0.25">
      <c r="A6" s="18" t="s">
        <v>13</v>
      </c>
      <c r="B6" s="18" t="s">
        <v>107</v>
      </c>
      <c r="C6" s="18" t="s">
        <v>15</v>
      </c>
      <c r="D6" s="19" t="s">
        <v>109</v>
      </c>
      <c r="E6" s="18">
        <f t="shared" si="0"/>
        <v>5</v>
      </c>
      <c r="F6" s="20" t="b">
        <v>1</v>
      </c>
      <c r="G6" s="20" t="b">
        <v>1</v>
      </c>
      <c r="H6" s="20" t="b">
        <v>1</v>
      </c>
      <c r="I6" s="18" t="str">
        <f>IF(Tabela24[[#This Row],[Federado]]=TRUE,"LIBERADO TRACKER","PENDENTE")</f>
        <v>LIBERADO TRACKER</v>
      </c>
      <c r="J6" s="20" t="b">
        <v>0</v>
      </c>
      <c r="K6" s="20" t="b">
        <v>0</v>
      </c>
      <c r="L6" s="20" t="b">
        <v>0</v>
      </c>
      <c r="M6" s="18" t="str">
        <f>IF(Tabela24[[#This Row],[Planta QR code]]=TRUE,"LIBERADO PARA OBRA","PENDENTE")</f>
        <v>PENDENTE</v>
      </c>
    </row>
    <row r="7" spans="1:13" x14ac:dyDescent="0.25">
      <c r="A7" s="18" t="s">
        <v>13</v>
      </c>
      <c r="B7" s="18" t="s">
        <v>107</v>
      </c>
      <c r="C7" s="18" t="s">
        <v>15</v>
      </c>
      <c r="D7" s="19" t="s">
        <v>108</v>
      </c>
      <c r="E7" s="18">
        <f t="shared" si="0"/>
        <v>6</v>
      </c>
      <c r="F7" s="20" t="b">
        <v>1</v>
      </c>
      <c r="G7" s="20" t="b">
        <v>1</v>
      </c>
      <c r="H7" s="20" t="b">
        <v>1</v>
      </c>
      <c r="I7" s="18" t="str">
        <f>IF(Tabela24[[#This Row],[Federado]]=TRUE,"LIBERADO TRACKER","PENDENTE")</f>
        <v>LIBERADO TRACKER</v>
      </c>
      <c r="J7" s="20" t="b">
        <v>0</v>
      </c>
      <c r="K7" s="20" t="b">
        <v>0</v>
      </c>
      <c r="L7" s="20" t="b">
        <v>0</v>
      </c>
      <c r="M7" s="18" t="str">
        <f>IF(Tabela24[[#This Row],[Planta QR code]]=TRUE,"LIBERADO PARA OBRA","PENDENTE")</f>
        <v>PENDENTE</v>
      </c>
    </row>
    <row r="8" spans="1:13" x14ac:dyDescent="0.25">
      <c r="A8" s="18" t="s">
        <v>13</v>
      </c>
      <c r="B8" s="18" t="s">
        <v>107</v>
      </c>
      <c r="C8" s="18" t="s">
        <v>15</v>
      </c>
      <c r="D8" s="19" t="s">
        <v>114</v>
      </c>
      <c r="E8" s="18">
        <f t="shared" si="0"/>
        <v>7</v>
      </c>
      <c r="F8" s="20" t="b">
        <v>1</v>
      </c>
      <c r="G8" s="20" t="b">
        <v>1</v>
      </c>
      <c r="H8" s="20" t="b">
        <v>1</v>
      </c>
      <c r="I8" s="18" t="str">
        <f>IF(Tabela24[[#This Row],[Federado]]=TRUE,"LIBERADO TRACKER","PENDENTE")</f>
        <v>LIBERADO TRACKER</v>
      </c>
      <c r="J8" s="20" t="b">
        <v>0</v>
      </c>
      <c r="K8" s="20" t="b">
        <v>0</v>
      </c>
      <c r="L8" s="20" t="b">
        <v>0</v>
      </c>
      <c r="M8" s="18" t="str">
        <f>IF(Tabela24[[#This Row],[Planta QR code]]=TRUE,"LIBERADO PARA OBRA","PENDENTE")</f>
        <v>PENDENTE</v>
      </c>
    </row>
    <row r="9" spans="1:13" x14ac:dyDescent="0.25">
      <c r="A9" s="18" t="s">
        <v>13</v>
      </c>
      <c r="B9" s="18" t="s">
        <v>107</v>
      </c>
      <c r="C9" s="18" t="s">
        <v>15</v>
      </c>
      <c r="D9" s="19" t="s">
        <v>115</v>
      </c>
      <c r="E9" s="18">
        <f t="shared" si="0"/>
        <v>8</v>
      </c>
      <c r="F9" s="20" t="b">
        <v>1</v>
      </c>
      <c r="G9" s="20" t="b">
        <v>1</v>
      </c>
      <c r="H9" s="20" t="b">
        <v>1</v>
      </c>
      <c r="I9" s="18" t="str">
        <f>IF(Tabela24[[#This Row],[Federado]]=TRUE,"LIBERADO TRACKER","PENDENTE")</f>
        <v>LIBERADO TRACKER</v>
      </c>
      <c r="J9" s="20" t="b">
        <v>0</v>
      </c>
      <c r="K9" s="20" t="b">
        <v>0</v>
      </c>
      <c r="L9" s="20" t="b">
        <v>0</v>
      </c>
      <c r="M9" s="18" t="str">
        <f>IF(Tabela24[[#This Row],[Planta QR code]]=TRUE,"LIBERADO PARA OBRA","PENDENTE")</f>
        <v>PENDENTE</v>
      </c>
    </row>
    <row r="10" spans="1:13" x14ac:dyDescent="0.25">
      <c r="A10" s="18" t="s">
        <v>13</v>
      </c>
      <c r="B10" s="18" t="s">
        <v>107</v>
      </c>
      <c r="C10" s="18" t="s">
        <v>15</v>
      </c>
      <c r="D10" s="19" t="s">
        <v>116</v>
      </c>
      <c r="E10" s="18">
        <f t="shared" si="0"/>
        <v>9</v>
      </c>
      <c r="F10" s="20" t="b">
        <v>1</v>
      </c>
      <c r="G10" s="20" t="b">
        <v>1</v>
      </c>
      <c r="H10" s="20" t="b">
        <v>1</v>
      </c>
      <c r="I10" s="18" t="str">
        <f>IF(Tabela24[[#This Row],[Federado]]=TRUE,"LIBERADO TRACKER","PENDENTE")</f>
        <v>LIBERADO TRACKER</v>
      </c>
      <c r="J10" s="20" t="b">
        <v>0</v>
      </c>
      <c r="K10" s="20" t="b">
        <v>0</v>
      </c>
      <c r="L10" s="20" t="b">
        <v>0</v>
      </c>
      <c r="M10" s="18" t="str">
        <f>IF(Tabela24[[#This Row],[Planta QR code]]=TRUE,"LIBERADO PARA OBRA","PENDENTE")</f>
        <v>PENDENTE</v>
      </c>
    </row>
    <row r="11" spans="1:13" x14ac:dyDescent="0.25">
      <c r="A11" s="18" t="s">
        <v>13</v>
      </c>
      <c r="B11" s="18" t="s">
        <v>107</v>
      </c>
      <c r="C11" s="18" t="s">
        <v>15</v>
      </c>
      <c r="D11" s="19" t="s">
        <v>117</v>
      </c>
      <c r="E11" s="18">
        <f t="shared" si="0"/>
        <v>10</v>
      </c>
      <c r="F11" s="20" t="b">
        <v>1</v>
      </c>
      <c r="G11" s="20" t="b">
        <v>1</v>
      </c>
      <c r="H11" s="20" t="b">
        <v>1</v>
      </c>
      <c r="I11" s="18" t="str">
        <f>IF(Tabela24[[#This Row],[Federado]]=TRUE,"LIBERADO TRACKER","PENDENTE")</f>
        <v>LIBERADO TRACKER</v>
      </c>
      <c r="J11" s="20" t="b">
        <v>0</v>
      </c>
      <c r="K11" s="20" t="b">
        <v>0</v>
      </c>
      <c r="L11" s="20" t="b">
        <v>0</v>
      </c>
      <c r="M11" s="18" t="str">
        <f>IF(Tabela24[[#This Row],[Planta QR code]]=TRUE,"LIBERADO PARA OBRA","PENDENTE")</f>
        <v>PENDENTE</v>
      </c>
    </row>
    <row r="12" spans="1:13" x14ac:dyDescent="0.25">
      <c r="A12" s="18" t="s">
        <v>13</v>
      </c>
      <c r="B12" s="18" t="s">
        <v>107</v>
      </c>
      <c r="C12" s="18" t="s">
        <v>15</v>
      </c>
      <c r="D12" s="19" t="s">
        <v>119</v>
      </c>
      <c r="E12" s="18">
        <f t="shared" si="0"/>
        <v>11</v>
      </c>
      <c r="F12" s="20" t="b">
        <v>0</v>
      </c>
      <c r="G12" s="20" t="b">
        <v>0</v>
      </c>
      <c r="H12" s="20" t="b">
        <v>0</v>
      </c>
      <c r="I12" s="18" t="str">
        <f>IF(Tabela24[[#This Row],[Federado]]=TRUE,"LIBERADO TRACKER","PENDENTE")</f>
        <v>PENDENTE</v>
      </c>
      <c r="J12" s="20" t="b">
        <v>0</v>
      </c>
      <c r="K12" s="20" t="b">
        <v>0</v>
      </c>
      <c r="L12" s="20" t="b">
        <v>0</v>
      </c>
      <c r="M12" s="18" t="str">
        <f>IF(Tabela24[[#This Row],[Planta QR code]]=TRUE,"LIBERADO PARA OBRA","PENDENTE")</f>
        <v>PENDENTE</v>
      </c>
    </row>
    <row r="13" spans="1:13" x14ac:dyDescent="0.25">
      <c r="A13" s="18" t="s">
        <v>13</v>
      </c>
      <c r="B13" s="18" t="s">
        <v>107</v>
      </c>
      <c r="C13" s="18" t="s">
        <v>15</v>
      </c>
      <c r="D13" s="19" t="s">
        <v>120</v>
      </c>
      <c r="E13" s="18">
        <f t="shared" si="0"/>
        <v>12</v>
      </c>
      <c r="F13" s="20" t="b">
        <v>0</v>
      </c>
      <c r="G13" s="20" t="b">
        <v>0</v>
      </c>
      <c r="H13" s="20" t="b">
        <v>0</v>
      </c>
      <c r="I13" s="18" t="str">
        <f>IF(Tabela24[[#This Row],[Federado]]=TRUE,"LIBERADO TRACKER","PENDENTE")</f>
        <v>PENDENTE</v>
      </c>
      <c r="J13" s="20" t="b">
        <v>0</v>
      </c>
      <c r="K13" s="20" t="b">
        <v>0</v>
      </c>
      <c r="L13" s="20" t="b">
        <v>0</v>
      </c>
      <c r="M13" s="18" t="str">
        <f>IF(Tabela24[[#This Row],[Planta QR code]]=TRUE,"LIBERADO PARA OBRA","PENDENTE")</f>
        <v>PENDENTE</v>
      </c>
    </row>
    <row r="14" spans="1:13" x14ac:dyDescent="0.25">
      <c r="A14" s="18" t="s">
        <v>13</v>
      </c>
      <c r="B14" s="18" t="s">
        <v>107</v>
      </c>
      <c r="C14" s="18" t="s">
        <v>15</v>
      </c>
      <c r="D14" s="19" t="s">
        <v>121</v>
      </c>
      <c r="E14" s="18">
        <f t="shared" si="0"/>
        <v>13</v>
      </c>
      <c r="F14" s="20" t="b">
        <v>0</v>
      </c>
      <c r="G14" s="20" t="b">
        <v>0</v>
      </c>
      <c r="H14" s="20" t="b">
        <v>0</v>
      </c>
      <c r="I14" s="18" t="str">
        <f>IF(Tabela24[[#This Row],[Federado]]=TRUE,"LIBERADO TRACKER","PENDENTE")</f>
        <v>PENDENTE</v>
      </c>
      <c r="J14" s="20" t="b">
        <v>0</v>
      </c>
      <c r="K14" s="20" t="b">
        <v>0</v>
      </c>
      <c r="L14" s="20" t="b">
        <v>0</v>
      </c>
      <c r="M14" s="18" t="str">
        <f>IF(Tabela24[[#This Row],[Planta QR code]]=TRUE,"LIBERADO PARA OBRA","PENDENTE")</f>
        <v>PENDENTE</v>
      </c>
    </row>
    <row r="15" spans="1:13" x14ac:dyDescent="0.25">
      <c r="A15" s="18" t="s">
        <v>13</v>
      </c>
      <c r="B15" s="18" t="s">
        <v>107</v>
      </c>
      <c r="C15" s="18" t="s">
        <v>15</v>
      </c>
      <c r="D15" s="19" t="s">
        <v>122</v>
      </c>
      <c r="E15" s="18">
        <f t="shared" si="0"/>
        <v>14</v>
      </c>
      <c r="F15" s="20" t="b">
        <v>0</v>
      </c>
      <c r="G15" s="20" t="b">
        <v>0</v>
      </c>
      <c r="H15" s="20" t="b">
        <v>0</v>
      </c>
      <c r="I15" s="18" t="str">
        <f>IF(Tabela24[[#This Row],[Federado]]=TRUE,"LIBERADO TRACKER","PENDENTE")</f>
        <v>PENDENTE</v>
      </c>
      <c r="J15" s="20" t="b">
        <v>0</v>
      </c>
      <c r="K15" s="20" t="b">
        <v>0</v>
      </c>
      <c r="L15" s="20" t="b">
        <v>0</v>
      </c>
      <c r="M15" s="18" t="str">
        <f>IF(Tabela24[[#This Row],[Planta QR code]]=TRUE,"LIBERADO PARA OBRA","PENDENTE")</f>
        <v>PENDENTE</v>
      </c>
    </row>
    <row r="16" spans="1:13" x14ac:dyDescent="0.25">
      <c r="A16" s="18" t="s">
        <v>13</v>
      </c>
      <c r="B16" s="18" t="s">
        <v>107</v>
      </c>
      <c r="C16" s="18" t="s">
        <v>15</v>
      </c>
      <c r="D16" s="19" t="s">
        <v>123</v>
      </c>
      <c r="E16" s="18">
        <f t="shared" si="0"/>
        <v>15</v>
      </c>
      <c r="F16" s="20" t="b">
        <v>0</v>
      </c>
      <c r="G16" s="20" t="b">
        <v>0</v>
      </c>
      <c r="H16" s="20" t="b">
        <v>0</v>
      </c>
      <c r="I16" s="18" t="str">
        <f>IF(Tabela24[[#This Row],[Federado]]=TRUE,"LIBERADO TRACKER","PENDENTE")</f>
        <v>PENDENTE</v>
      </c>
      <c r="J16" s="20" t="b">
        <v>0</v>
      </c>
      <c r="K16" s="20" t="b">
        <v>0</v>
      </c>
      <c r="L16" s="20" t="b">
        <v>0</v>
      </c>
      <c r="M16" s="18" t="str">
        <f>IF(Tabela24[[#This Row],[Planta QR code]]=TRUE,"LIBERADO PARA OBRA","PENDENTE")</f>
        <v>PENDENTE</v>
      </c>
    </row>
    <row r="17" spans="1:13" x14ac:dyDescent="0.25">
      <c r="A17" s="18" t="s">
        <v>13</v>
      </c>
      <c r="B17" s="18" t="s">
        <v>107</v>
      </c>
      <c r="C17" s="18" t="s">
        <v>15</v>
      </c>
      <c r="D17" s="19" t="s">
        <v>124</v>
      </c>
      <c r="E17" s="18">
        <f t="shared" si="0"/>
        <v>16</v>
      </c>
      <c r="F17" s="20" t="b">
        <v>0</v>
      </c>
      <c r="G17" s="20" t="b">
        <v>0</v>
      </c>
      <c r="H17" s="20" t="b">
        <v>0</v>
      </c>
      <c r="I17" s="18" t="str">
        <f>IF(Tabela24[[#This Row],[Federado]]=TRUE,"LIBERADO TRACKER","PENDENTE")</f>
        <v>PENDENTE</v>
      </c>
      <c r="J17" s="20" t="b">
        <v>0</v>
      </c>
      <c r="K17" s="20" t="b">
        <v>0</v>
      </c>
      <c r="L17" s="20" t="b">
        <v>0</v>
      </c>
      <c r="M17" s="18" t="str">
        <f>IF(Tabela24[[#This Row],[Planta QR code]]=TRUE,"LIBERADO PARA OBRA","PENDENTE")</f>
        <v>PENDENTE</v>
      </c>
    </row>
    <row r="18" spans="1:13" x14ac:dyDescent="0.25">
      <c r="A18" s="18" t="s">
        <v>13</v>
      </c>
      <c r="B18" s="18" t="s">
        <v>107</v>
      </c>
      <c r="C18" s="18" t="s">
        <v>15</v>
      </c>
      <c r="D18" s="19" t="s">
        <v>125</v>
      </c>
      <c r="E18" s="18">
        <f t="shared" si="0"/>
        <v>17</v>
      </c>
      <c r="F18" s="20" t="b">
        <v>0</v>
      </c>
      <c r="G18" s="20" t="b">
        <v>0</v>
      </c>
      <c r="H18" s="20" t="b">
        <v>0</v>
      </c>
      <c r="I18" s="18" t="str">
        <f>IF(Tabela24[[#This Row],[Federado]]=TRUE,"LIBERADO TRACKER","PENDENTE")</f>
        <v>PENDENTE</v>
      </c>
      <c r="J18" s="20" t="b">
        <v>0</v>
      </c>
      <c r="K18" s="20" t="b">
        <v>0</v>
      </c>
      <c r="L18" s="20" t="b">
        <v>0</v>
      </c>
      <c r="M18" s="18" t="str">
        <f>IF(Tabela24[[#This Row],[Planta QR code]]=TRUE,"LIBERADO PARA OBRA","PENDENTE")</f>
        <v>PENDENTE</v>
      </c>
    </row>
    <row r="19" spans="1:13" x14ac:dyDescent="0.25">
      <c r="A19" s="18" t="s">
        <v>13</v>
      </c>
      <c r="B19" s="18" t="s">
        <v>107</v>
      </c>
      <c r="C19" s="18" t="s">
        <v>15</v>
      </c>
      <c r="D19" s="19" t="s">
        <v>126</v>
      </c>
      <c r="E19" s="18">
        <f t="shared" si="0"/>
        <v>18</v>
      </c>
      <c r="F19" s="20" t="b">
        <v>0</v>
      </c>
      <c r="G19" s="20" t="b">
        <v>0</v>
      </c>
      <c r="H19" s="20" t="b">
        <v>0</v>
      </c>
      <c r="I19" s="18" t="str">
        <f>IF(Tabela24[[#This Row],[Federado]]=TRUE,"LIBERADO TRACKER","PENDENTE")</f>
        <v>PENDENTE</v>
      </c>
      <c r="J19" s="20" t="b">
        <v>0</v>
      </c>
      <c r="K19" s="20" t="b">
        <v>0</v>
      </c>
      <c r="L19" s="20" t="b">
        <v>0</v>
      </c>
      <c r="M19" s="18" t="str">
        <f>IF(Tabela24[[#This Row],[Planta QR code]]=TRUE,"LIBERADO PARA OBRA","PENDENTE")</f>
        <v>PENDENTE</v>
      </c>
    </row>
    <row r="20" spans="1:13" x14ac:dyDescent="0.25">
      <c r="A20" s="18" t="s">
        <v>13</v>
      </c>
      <c r="B20" s="18" t="s">
        <v>107</v>
      </c>
      <c r="C20" s="18" t="s">
        <v>15</v>
      </c>
      <c r="D20" s="19" t="s">
        <v>127</v>
      </c>
      <c r="E20" s="18">
        <f t="shared" si="0"/>
        <v>19</v>
      </c>
      <c r="F20" s="20" t="b">
        <v>0</v>
      </c>
      <c r="G20" s="20" t="b">
        <v>0</v>
      </c>
      <c r="H20" s="20" t="b">
        <v>0</v>
      </c>
      <c r="I20" s="18" t="str">
        <f>IF(Tabela24[[#This Row],[Federado]]=TRUE,"LIBERADO TRACKER","PENDENTE")</f>
        <v>PENDENTE</v>
      </c>
      <c r="J20" s="20" t="b">
        <v>0</v>
      </c>
      <c r="K20" s="20" t="b">
        <v>0</v>
      </c>
      <c r="L20" s="20" t="b">
        <v>0</v>
      </c>
      <c r="M20" s="18" t="str">
        <f>IF(Tabela24[[#This Row],[Planta QR code]]=TRUE,"LIBERADO PARA OBRA","PENDENTE")</f>
        <v>PENDENTE</v>
      </c>
    </row>
    <row r="21" spans="1:13" x14ac:dyDescent="0.25">
      <c r="A21" s="18" t="s">
        <v>13</v>
      </c>
      <c r="B21" s="18" t="s">
        <v>107</v>
      </c>
      <c r="C21" s="18" t="s">
        <v>15</v>
      </c>
      <c r="D21" s="19" t="s">
        <v>128</v>
      </c>
      <c r="E21" s="18">
        <f t="shared" si="0"/>
        <v>20</v>
      </c>
      <c r="F21" s="20" t="b">
        <v>0</v>
      </c>
      <c r="G21" s="20" t="b">
        <v>0</v>
      </c>
      <c r="H21" s="20" t="b">
        <v>0</v>
      </c>
      <c r="I21" s="18" t="str">
        <f>IF(Tabela24[[#This Row],[Federado]]=TRUE,"LIBERADO TRACKER","PENDENTE")</f>
        <v>PENDENTE</v>
      </c>
      <c r="J21" s="20" t="b">
        <v>0</v>
      </c>
      <c r="K21" s="20" t="b">
        <v>0</v>
      </c>
      <c r="L21" s="20" t="b">
        <v>0</v>
      </c>
      <c r="M21" s="18" t="str">
        <f>IF(Tabela24[[#This Row],[Planta QR code]]=TRUE,"LIBERADO PARA OBRA","PENDENTE")</f>
        <v>PENDENTE</v>
      </c>
    </row>
    <row r="22" spans="1:13" x14ac:dyDescent="0.25">
      <c r="A22" s="18" t="s">
        <v>13</v>
      </c>
      <c r="B22" s="18" t="s">
        <v>107</v>
      </c>
      <c r="C22" s="18" t="s">
        <v>15</v>
      </c>
      <c r="D22" s="19" t="s">
        <v>129</v>
      </c>
      <c r="E22" s="18">
        <f t="shared" si="0"/>
        <v>21</v>
      </c>
      <c r="F22" s="20" t="b">
        <v>0</v>
      </c>
      <c r="G22" s="20" t="b">
        <v>0</v>
      </c>
      <c r="H22" s="20" t="b">
        <v>0</v>
      </c>
      <c r="I22" s="18" t="str">
        <f>IF(Tabela24[[#This Row],[Federado]]=TRUE,"LIBERADO TRACKER","PENDENTE")</f>
        <v>PENDENTE</v>
      </c>
      <c r="J22" s="20" t="b">
        <v>0</v>
      </c>
      <c r="K22" s="20" t="b">
        <v>0</v>
      </c>
      <c r="L22" s="20" t="b">
        <v>0</v>
      </c>
      <c r="M22" s="18" t="str">
        <f>IF(Tabela24[[#This Row],[Planta QR code]]=TRUE,"LIBERADO PARA OBRA","PENDENTE")</f>
        <v>PENDENTE</v>
      </c>
    </row>
    <row r="23" spans="1:13" x14ac:dyDescent="0.25">
      <c r="A23" s="18" t="s">
        <v>13</v>
      </c>
      <c r="B23" s="18" t="s">
        <v>107</v>
      </c>
      <c r="C23" s="18" t="s">
        <v>15</v>
      </c>
      <c r="D23" s="19" t="s">
        <v>130</v>
      </c>
      <c r="E23" s="18">
        <f t="shared" si="0"/>
        <v>22</v>
      </c>
      <c r="F23" s="20" t="b">
        <v>0</v>
      </c>
      <c r="G23" s="20" t="b">
        <v>0</v>
      </c>
      <c r="H23" s="20" t="b">
        <v>0</v>
      </c>
      <c r="I23" s="18" t="str">
        <f>IF(Tabela24[[#This Row],[Federado]]=TRUE,"LIBERADO TRACKER","PENDENTE")</f>
        <v>PENDENTE</v>
      </c>
      <c r="J23" s="20" t="b">
        <v>0</v>
      </c>
      <c r="K23" s="20" t="b">
        <v>0</v>
      </c>
      <c r="L23" s="20" t="b">
        <v>0</v>
      </c>
      <c r="M23" s="18" t="str">
        <f>IF(Tabela24[[#This Row],[Planta QR code]]=TRUE,"LIBERADO PARA OBRA","PENDENTE")</f>
        <v>PENDENTE</v>
      </c>
    </row>
    <row r="24" spans="1:13" x14ac:dyDescent="0.25">
      <c r="A24" s="18" t="s">
        <v>13</v>
      </c>
      <c r="B24" s="18" t="s">
        <v>107</v>
      </c>
      <c r="C24" s="18" t="s">
        <v>15</v>
      </c>
      <c r="D24" s="19" t="s">
        <v>131</v>
      </c>
      <c r="E24" s="18">
        <f t="shared" si="0"/>
        <v>23</v>
      </c>
      <c r="F24" s="20" t="b">
        <v>0</v>
      </c>
      <c r="G24" s="20" t="b">
        <v>0</v>
      </c>
      <c r="H24" s="20" t="b">
        <v>0</v>
      </c>
      <c r="I24" s="18" t="str">
        <f>IF(Tabela24[[#This Row],[Federado]]=TRUE,"LIBERADO TRACKER","PENDENTE")</f>
        <v>PENDENTE</v>
      </c>
      <c r="J24" s="20" t="b">
        <v>0</v>
      </c>
      <c r="K24" s="20" t="b">
        <v>0</v>
      </c>
      <c r="L24" s="20" t="b">
        <v>0</v>
      </c>
      <c r="M24" s="18" t="str">
        <f>IF(Tabela24[[#This Row],[Planta QR code]]=TRUE,"LIBERADO PARA OBRA","PENDENTE")</f>
        <v>PENDENTE</v>
      </c>
    </row>
    <row r="25" spans="1:13" x14ac:dyDescent="0.25">
      <c r="A25" s="18" t="s">
        <v>13</v>
      </c>
      <c r="B25" s="18" t="s">
        <v>107</v>
      </c>
      <c r="C25" s="18" t="s">
        <v>15</v>
      </c>
      <c r="D25" s="19" t="s">
        <v>132</v>
      </c>
      <c r="E25" s="18">
        <f t="shared" si="0"/>
        <v>24</v>
      </c>
      <c r="F25" s="20" t="b">
        <v>0</v>
      </c>
      <c r="G25" s="20" t="b">
        <v>0</v>
      </c>
      <c r="H25" s="20" t="b">
        <v>0</v>
      </c>
      <c r="I25" s="18" t="str">
        <f>IF(Tabela24[[#This Row],[Federado]]=TRUE,"LIBERADO TRACKER","PENDENTE")</f>
        <v>PENDENTE</v>
      </c>
      <c r="J25" s="20" t="b">
        <v>0</v>
      </c>
      <c r="K25" s="20" t="b">
        <v>0</v>
      </c>
      <c r="L25" s="20" t="b">
        <v>0</v>
      </c>
      <c r="M25" s="18" t="str">
        <f>IF(Tabela24[[#This Row],[Planta QR code]]=TRUE,"LIBERADO PARA OBRA","PENDENTE")</f>
        <v>PENDENTE</v>
      </c>
    </row>
    <row r="26" spans="1:13" x14ac:dyDescent="0.25">
      <c r="A26" s="18" t="s">
        <v>13</v>
      </c>
      <c r="B26" s="18" t="s">
        <v>107</v>
      </c>
      <c r="C26" s="18" t="s">
        <v>15</v>
      </c>
      <c r="D26" s="19" t="s">
        <v>118</v>
      </c>
      <c r="E26" s="18">
        <f t="shared" si="0"/>
        <v>25</v>
      </c>
      <c r="F26" s="20" t="b">
        <v>1</v>
      </c>
      <c r="G26" s="20" t="b">
        <v>1</v>
      </c>
      <c r="H26" s="20" t="b">
        <v>1</v>
      </c>
      <c r="I26" s="18" t="str">
        <f>IF(Tabela24[[#This Row],[Federado]]=TRUE,"LIBERADO TRACKER","PENDENTE")</f>
        <v>LIBERADO TRACKER</v>
      </c>
      <c r="J26" s="20" t="b">
        <v>1</v>
      </c>
      <c r="K26" s="20" t="b">
        <v>0</v>
      </c>
      <c r="L26" s="20" t="b">
        <v>0</v>
      </c>
      <c r="M26" s="18" t="str">
        <f>IF(Tabela24[[#This Row],[Planta QR code]]=TRUE,"LIBERADO PARA OBRA","PENDENTE")</f>
        <v>PENDENTE</v>
      </c>
    </row>
    <row r="27" spans="1:13" x14ac:dyDescent="0.25">
      <c r="A27" s="18" t="s">
        <v>13</v>
      </c>
      <c r="B27" s="18" t="s">
        <v>14</v>
      </c>
      <c r="C27" s="18" t="s">
        <v>15</v>
      </c>
      <c r="D27" s="24" t="s">
        <v>16</v>
      </c>
      <c r="E27" s="18">
        <f t="shared" si="0"/>
        <v>26</v>
      </c>
      <c r="F27" s="20" t="b">
        <v>1</v>
      </c>
      <c r="G27" s="20" t="b">
        <v>1</v>
      </c>
      <c r="H27" s="20" t="b">
        <v>1</v>
      </c>
      <c r="I27" s="18" t="str">
        <f>IF(Tabela24[[#This Row],[Federado]]=TRUE,"LIBERADO TRACKER","PENDENTE")</f>
        <v>LIBERADO TRACKER</v>
      </c>
      <c r="J27" s="20" t="b">
        <v>1</v>
      </c>
      <c r="K27" s="20" t="b">
        <v>0</v>
      </c>
      <c r="L27" s="20" t="b">
        <v>0</v>
      </c>
      <c r="M27" s="18" t="str">
        <f>IF(Tabela24[[#This Row],[Planta QR code]]=TRUE,"LIBERADO PARA OBRA","PENDENTE")</f>
        <v>PENDENTE</v>
      </c>
    </row>
    <row r="28" spans="1:13" x14ac:dyDescent="0.25">
      <c r="A28" s="18" t="s">
        <v>13</v>
      </c>
      <c r="B28" s="18" t="s">
        <v>14</v>
      </c>
      <c r="C28" s="18" t="s">
        <v>15</v>
      </c>
      <c r="D28" s="19" t="s">
        <v>331</v>
      </c>
      <c r="E28" s="18">
        <f t="shared" si="0"/>
        <v>27</v>
      </c>
      <c r="F28" s="20" t="b">
        <v>1</v>
      </c>
      <c r="G28" s="20" t="b">
        <v>1</v>
      </c>
      <c r="H28" s="20" t="b">
        <v>1</v>
      </c>
      <c r="I28" s="18" t="str">
        <f>IF(Tabela24[[#This Row],[Federado]]=TRUE,"LIBERADO TRACKER","PENDENTE")</f>
        <v>LIBERADO TRACKER</v>
      </c>
      <c r="J28" s="20" t="b">
        <v>1</v>
      </c>
      <c r="K28" s="20" t="b">
        <v>0</v>
      </c>
      <c r="L28" s="20" t="b">
        <v>0</v>
      </c>
      <c r="M28" s="18" t="str">
        <f>IF(Tabela24[[#This Row],[Planta QR code]]=TRUE,"LIBERADO PARA OBRA","PENDENTE")</f>
        <v>PENDENTE</v>
      </c>
    </row>
    <row r="29" spans="1:13" x14ac:dyDescent="0.25">
      <c r="A29" s="18" t="s">
        <v>13</v>
      </c>
      <c r="B29" s="18" t="s">
        <v>14</v>
      </c>
      <c r="C29" s="18" t="s">
        <v>15</v>
      </c>
      <c r="D29" s="19" t="s">
        <v>332</v>
      </c>
      <c r="E29" s="18">
        <f t="shared" si="0"/>
        <v>28</v>
      </c>
      <c r="F29" s="20" t="b">
        <v>1</v>
      </c>
      <c r="G29" s="20" t="b">
        <v>1</v>
      </c>
      <c r="H29" s="20" t="b">
        <v>1</v>
      </c>
      <c r="I29" s="18" t="str">
        <f>IF(Tabela24[[#This Row],[Federado]]=TRUE,"LIBERADO TRACKER","PENDENTE")</f>
        <v>LIBERADO TRACKER</v>
      </c>
      <c r="J29" s="20" t="b">
        <v>1</v>
      </c>
      <c r="K29" s="20" t="b">
        <v>0</v>
      </c>
      <c r="L29" s="20" t="b">
        <v>0</v>
      </c>
      <c r="M29" s="18" t="str">
        <f>IF(Tabela24[[#This Row],[Planta QR code]]=TRUE,"LIBERADO PARA OBRA","PENDENTE")</f>
        <v>PENDENTE</v>
      </c>
    </row>
    <row r="30" spans="1:13" x14ac:dyDescent="0.25">
      <c r="A30" s="18" t="s">
        <v>13</v>
      </c>
      <c r="B30" s="18" t="s">
        <v>14</v>
      </c>
      <c r="C30" s="18" t="s">
        <v>15</v>
      </c>
      <c r="D30" s="19" t="s">
        <v>88</v>
      </c>
      <c r="E30" s="18">
        <f t="shared" si="0"/>
        <v>29</v>
      </c>
      <c r="F30" s="20" t="b">
        <v>1</v>
      </c>
      <c r="G30" s="20" t="b">
        <v>1</v>
      </c>
      <c r="H30" s="20" t="b">
        <v>1</v>
      </c>
      <c r="I30" s="18" t="str">
        <f>IF(Tabela24[[#This Row],[Federado]]=TRUE,"LIBERADO TRACKER","PENDENTE")</f>
        <v>LIBERADO TRACKER</v>
      </c>
      <c r="J30" s="20" t="b">
        <v>1</v>
      </c>
      <c r="K30" s="20" t="b">
        <v>0</v>
      </c>
      <c r="L30" s="20" t="b">
        <v>0</v>
      </c>
      <c r="M30" s="18" t="str">
        <f>IF(Tabela24[[#This Row],[Planta QR code]]=TRUE,"LIBERADO PARA OBRA","PENDENTE")</f>
        <v>PENDENTE</v>
      </c>
    </row>
    <row r="31" spans="1:13" x14ac:dyDescent="0.25">
      <c r="A31" s="18" t="s">
        <v>13</v>
      </c>
      <c r="B31" s="18" t="s">
        <v>14</v>
      </c>
      <c r="C31" s="18" t="s">
        <v>15</v>
      </c>
      <c r="D31" s="19" t="s">
        <v>26</v>
      </c>
      <c r="E31" s="18">
        <f t="shared" si="0"/>
        <v>30</v>
      </c>
      <c r="F31" s="20" t="b">
        <v>1</v>
      </c>
      <c r="G31" s="20" t="b">
        <v>1</v>
      </c>
      <c r="H31" s="20" t="b">
        <v>1</v>
      </c>
      <c r="I31" s="18" t="str">
        <f>IF(Tabela24[[#This Row],[Federado]]=TRUE,"LIBERADO TRACKER","PENDENTE")</f>
        <v>LIBERADO TRACKER</v>
      </c>
      <c r="J31" s="20" t="b">
        <v>1</v>
      </c>
      <c r="K31" s="20" t="b">
        <v>0</v>
      </c>
      <c r="L31" s="20" t="b">
        <v>0</v>
      </c>
      <c r="M31" s="18" t="str">
        <f>IF(Tabela24[[#This Row],[Planta QR code]]=TRUE,"LIBERADO PARA OBRA","PENDENTE")</f>
        <v>PENDENTE</v>
      </c>
    </row>
    <row r="32" spans="1:13" x14ac:dyDescent="0.25">
      <c r="A32" s="18" t="s">
        <v>13</v>
      </c>
      <c r="B32" s="18" t="s">
        <v>14</v>
      </c>
      <c r="C32" s="18" t="s">
        <v>15</v>
      </c>
      <c r="D32" s="24" t="s">
        <v>333</v>
      </c>
      <c r="E32" s="18">
        <f t="shared" si="0"/>
        <v>31</v>
      </c>
      <c r="F32" s="20" t="b">
        <v>1</v>
      </c>
      <c r="G32" s="20" t="b">
        <v>1</v>
      </c>
      <c r="H32" s="20" t="b">
        <v>1</v>
      </c>
      <c r="I32" s="18" t="str">
        <f>IF(Tabela24[[#This Row],[Federado]]=TRUE,"LIBERADO TRACKER","PENDENTE")</f>
        <v>LIBERADO TRACKER</v>
      </c>
      <c r="J32" s="20" t="b">
        <v>1</v>
      </c>
      <c r="K32" s="20" t="b">
        <v>0</v>
      </c>
      <c r="L32" s="20" t="b">
        <v>0</v>
      </c>
      <c r="M32" s="18" t="str">
        <f>IF(Tabela24[[#This Row],[Planta QR code]]=TRUE,"LIBERADO PARA OBRA","PENDENTE")</f>
        <v>PENDENTE</v>
      </c>
    </row>
    <row r="33" spans="1:13" x14ac:dyDescent="0.25">
      <c r="A33" s="18" t="s">
        <v>13</v>
      </c>
      <c r="B33" s="18" t="s">
        <v>14</v>
      </c>
      <c r="C33" s="18" t="s">
        <v>15</v>
      </c>
      <c r="D33" s="24" t="s">
        <v>29</v>
      </c>
      <c r="E33" s="18">
        <f t="shared" si="0"/>
        <v>32</v>
      </c>
      <c r="F33" s="20" t="b">
        <v>1</v>
      </c>
      <c r="G33" s="20" t="b">
        <v>1</v>
      </c>
      <c r="H33" s="20" t="b">
        <v>1</v>
      </c>
      <c r="I33" s="18" t="str">
        <f>IF(Tabela24[[#This Row],[Federado]]=TRUE,"LIBERADO TRACKER","PENDENTE")</f>
        <v>LIBERADO TRACKER</v>
      </c>
      <c r="J33" s="20" t="b">
        <v>0</v>
      </c>
      <c r="K33" s="20" t="b">
        <v>0</v>
      </c>
      <c r="L33" s="20" t="b">
        <v>0</v>
      </c>
      <c r="M33" s="18" t="str">
        <f>IF(Tabela24[[#This Row],[Planta QR code]]=TRUE,"LIBERADO PARA OBRA","PENDENTE")</f>
        <v>PENDENTE</v>
      </c>
    </row>
    <row r="34" spans="1:13" x14ac:dyDescent="0.25">
      <c r="A34" s="18" t="s">
        <v>13</v>
      </c>
      <c r="B34" s="18" t="s">
        <v>14</v>
      </c>
      <c r="C34" s="18" t="s">
        <v>15</v>
      </c>
      <c r="D34" s="24" t="s">
        <v>30</v>
      </c>
      <c r="E34" s="18">
        <f t="shared" si="0"/>
        <v>33</v>
      </c>
      <c r="F34" s="20" t="b">
        <v>1</v>
      </c>
      <c r="G34" s="20" t="b">
        <v>1</v>
      </c>
      <c r="H34" s="20" t="b">
        <v>1</v>
      </c>
      <c r="I34" s="18" t="str">
        <f>IF(Tabela24[[#This Row],[Federado]]=TRUE,"LIBERADO TRACKER","PENDENTE")</f>
        <v>LIBERADO TRACKER</v>
      </c>
      <c r="J34" s="20" t="b">
        <v>0</v>
      </c>
      <c r="K34" s="20" t="b">
        <v>0</v>
      </c>
      <c r="L34" s="20" t="b">
        <v>0</v>
      </c>
      <c r="M34" s="18" t="str">
        <f>IF(Tabela24[[#This Row],[Planta QR code]]=TRUE,"LIBERADO PARA OBRA","PENDENTE")</f>
        <v>PENDENTE</v>
      </c>
    </row>
    <row r="35" spans="1:13" x14ac:dyDescent="0.25">
      <c r="A35" s="18" t="s">
        <v>13</v>
      </c>
      <c r="B35" s="18" t="s">
        <v>14</v>
      </c>
      <c r="C35" s="18" t="s">
        <v>15</v>
      </c>
      <c r="D35" s="24" t="s">
        <v>353</v>
      </c>
      <c r="E35" s="18">
        <f t="shared" si="0"/>
        <v>34</v>
      </c>
      <c r="F35" s="20" t="b">
        <v>1</v>
      </c>
      <c r="G35" s="20" t="b">
        <v>1</v>
      </c>
      <c r="H35" s="20" t="b">
        <v>1</v>
      </c>
      <c r="I35" s="18" t="str">
        <f>IF(Tabela24[[#This Row],[Federado]]=TRUE,"LIBERADO TRACKER","PENDENTE")</f>
        <v>LIBERADO TRACKER</v>
      </c>
      <c r="J35" s="20" t="b">
        <v>0</v>
      </c>
      <c r="K35" s="20" t="b">
        <v>0</v>
      </c>
      <c r="L35" s="20" t="b">
        <v>0</v>
      </c>
      <c r="M35" s="18" t="str">
        <f>IF(Tabela24[[#This Row],[Planta QR code]]=TRUE,"LIBERADO PARA OBRA","PENDENTE")</f>
        <v>PENDENTE</v>
      </c>
    </row>
    <row r="36" spans="1:13" x14ac:dyDescent="0.25">
      <c r="A36" s="18" t="s">
        <v>13</v>
      </c>
      <c r="B36" s="18" t="s">
        <v>14</v>
      </c>
      <c r="C36" s="18" t="s">
        <v>15</v>
      </c>
      <c r="D36" s="24" t="s">
        <v>27</v>
      </c>
      <c r="E36" s="18">
        <f t="shared" si="0"/>
        <v>35</v>
      </c>
      <c r="F36" s="20" t="b">
        <v>1</v>
      </c>
      <c r="G36" s="20" t="b">
        <v>1</v>
      </c>
      <c r="H36" s="20" t="b">
        <v>1</v>
      </c>
      <c r="I36" s="18" t="str">
        <f>IF(Tabela24[[#This Row],[Federado]]=TRUE,"LIBERADO TRACKER","PENDENTE")</f>
        <v>LIBERADO TRACKER</v>
      </c>
      <c r="J36" s="20" t="b">
        <v>1</v>
      </c>
      <c r="K36" s="20" t="b">
        <v>0</v>
      </c>
      <c r="L36" s="20" t="b">
        <v>0</v>
      </c>
      <c r="M36" s="18" t="str">
        <f>IF(Tabela24[[#This Row],[Planta QR code]]=TRUE,"LIBERADO PARA OBRA","PENDENTE")</f>
        <v>PENDENTE</v>
      </c>
    </row>
    <row r="37" spans="1:13" x14ac:dyDescent="0.25">
      <c r="A37" s="18" t="s">
        <v>13</v>
      </c>
      <c r="B37" s="18" t="s">
        <v>14</v>
      </c>
      <c r="C37" s="18" t="s">
        <v>15</v>
      </c>
      <c r="D37" s="24" t="s">
        <v>36</v>
      </c>
      <c r="E37" s="18">
        <f t="shared" si="0"/>
        <v>36</v>
      </c>
      <c r="F37" s="20" t="b">
        <v>1</v>
      </c>
      <c r="G37" s="20" t="b">
        <v>1</v>
      </c>
      <c r="H37" s="20" t="b">
        <v>1</v>
      </c>
      <c r="I37" s="18" t="str">
        <f>IF(Tabela24[[#This Row],[Federado]]=TRUE,"LIBERADO TRACKER","PENDENTE")</f>
        <v>LIBERADO TRACKER</v>
      </c>
      <c r="J37" s="20" t="b">
        <v>0</v>
      </c>
      <c r="K37" s="20" t="b">
        <v>0</v>
      </c>
      <c r="L37" s="20" t="b">
        <v>0</v>
      </c>
      <c r="M37" s="18" t="str">
        <f>IF(Tabela24[[#This Row],[Planta QR code]]=TRUE,"LIBERADO PARA OBRA","PENDENTE")</f>
        <v>PENDENTE</v>
      </c>
    </row>
    <row r="38" spans="1:13" x14ac:dyDescent="0.25">
      <c r="A38" s="18" t="s">
        <v>13</v>
      </c>
      <c r="B38" s="18" t="s">
        <v>14</v>
      </c>
      <c r="C38" s="18" t="s">
        <v>15</v>
      </c>
      <c r="D38" s="24" t="s">
        <v>357</v>
      </c>
      <c r="E38" s="18">
        <f t="shared" si="0"/>
        <v>37</v>
      </c>
      <c r="F38" s="20" t="b">
        <v>1</v>
      </c>
      <c r="G38" s="20" t="b">
        <v>1</v>
      </c>
      <c r="H38" s="20" t="b">
        <v>1</v>
      </c>
      <c r="I38" s="18" t="str">
        <f>IF(Tabela24[[#This Row],[Federado]]=TRUE,"LIBERADO TRACKER","PENDENTE")</f>
        <v>LIBERADO TRACKER</v>
      </c>
      <c r="J38" s="20" t="b">
        <v>1</v>
      </c>
      <c r="K38" s="20" t="b">
        <v>0</v>
      </c>
      <c r="L38" s="20" t="b">
        <v>0</v>
      </c>
      <c r="M38" s="18" t="str">
        <f>IF(Tabela24[[#This Row],[Planta QR code]]=TRUE,"LIBERADO PARA OBRA","PENDENTE")</f>
        <v>PENDENTE</v>
      </c>
    </row>
    <row r="39" spans="1:13" x14ac:dyDescent="0.25">
      <c r="A39" s="18" t="s">
        <v>13</v>
      </c>
      <c r="B39" s="18" t="s">
        <v>14</v>
      </c>
      <c r="C39" s="18" t="s">
        <v>15</v>
      </c>
      <c r="D39" s="24" t="s">
        <v>25</v>
      </c>
      <c r="E39" s="18">
        <f t="shared" si="0"/>
        <v>38</v>
      </c>
      <c r="F39" s="20" t="b">
        <v>1</v>
      </c>
      <c r="G39" s="20" t="b">
        <v>1</v>
      </c>
      <c r="H39" s="20" t="b">
        <v>1</v>
      </c>
      <c r="I39" s="18" t="str">
        <f>IF(Tabela24[[#This Row],[Federado]]=TRUE,"LIBERADO TRACKER","PENDENTE")</f>
        <v>LIBERADO TRACKER</v>
      </c>
      <c r="J39" s="20" t="b">
        <v>0</v>
      </c>
      <c r="K39" s="20" t="b">
        <v>0</v>
      </c>
      <c r="L39" s="20" t="b">
        <v>0</v>
      </c>
      <c r="M39" s="18" t="str">
        <f>IF(Tabela24[[#This Row],[Planta QR code]]=TRUE,"LIBERADO PARA OBRA","PENDENTE")</f>
        <v>PENDENTE</v>
      </c>
    </row>
    <row r="40" spans="1:13" x14ac:dyDescent="0.25">
      <c r="A40" s="18" t="s">
        <v>13</v>
      </c>
      <c r="B40" s="18" t="s">
        <v>14</v>
      </c>
      <c r="C40" s="18" t="s">
        <v>15</v>
      </c>
      <c r="D40" s="24" t="s">
        <v>37</v>
      </c>
      <c r="E40" s="18">
        <f t="shared" si="0"/>
        <v>39</v>
      </c>
      <c r="F40" s="20" t="b">
        <v>1</v>
      </c>
      <c r="G40" s="20" t="b">
        <v>1</v>
      </c>
      <c r="H40" s="20" t="b">
        <v>1</v>
      </c>
      <c r="I40" s="18" t="str">
        <f>IF(Tabela24[[#This Row],[Federado]]=TRUE,"LIBERADO TRACKER","PENDENTE")</f>
        <v>LIBERADO TRACKER</v>
      </c>
      <c r="J40" s="20" t="b">
        <v>1</v>
      </c>
      <c r="K40" s="20" t="b">
        <v>0</v>
      </c>
      <c r="L40" s="20" t="b">
        <v>0</v>
      </c>
      <c r="M40" s="18" t="str">
        <f>IF(Tabela24[[#This Row],[Planta QR code]]=TRUE,"LIBERADO PARA OBRA","PENDENTE")</f>
        <v>PENDENTE</v>
      </c>
    </row>
    <row r="41" spans="1:13" x14ac:dyDescent="0.25">
      <c r="A41" s="18" t="s">
        <v>13</v>
      </c>
      <c r="B41" s="18" t="s">
        <v>14</v>
      </c>
      <c r="C41" s="18" t="s">
        <v>15</v>
      </c>
      <c r="D41" s="24" t="s">
        <v>28</v>
      </c>
      <c r="E41" s="18">
        <f t="shared" si="0"/>
        <v>40</v>
      </c>
      <c r="F41" s="20" t="b">
        <v>1</v>
      </c>
      <c r="G41" s="20" t="b">
        <v>1</v>
      </c>
      <c r="H41" s="20" t="b">
        <v>1</v>
      </c>
      <c r="I41" s="18" t="str">
        <f>IF(Tabela24[[#This Row],[Federado]]=TRUE,"LIBERADO TRACKER","PENDENTE")</f>
        <v>LIBERADO TRACKER</v>
      </c>
      <c r="J41" s="20" t="b">
        <v>0</v>
      </c>
      <c r="K41" s="20" t="b">
        <v>0</v>
      </c>
      <c r="L41" s="20" t="b">
        <v>0</v>
      </c>
      <c r="M41" s="18" t="str">
        <f>IF(Tabela24[[#This Row],[Planta QR code]]=TRUE,"LIBERADO PARA OBRA","PENDENTE")</f>
        <v>PENDENTE</v>
      </c>
    </row>
    <row r="42" spans="1:13" x14ac:dyDescent="0.25">
      <c r="A42" s="18" t="s">
        <v>13</v>
      </c>
      <c r="B42" s="18" t="s">
        <v>14</v>
      </c>
      <c r="C42" s="18" t="s">
        <v>15</v>
      </c>
      <c r="D42" s="24" t="s">
        <v>35</v>
      </c>
      <c r="E42" s="18">
        <f t="shared" si="0"/>
        <v>41</v>
      </c>
      <c r="F42" s="20" t="b">
        <v>1</v>
      </c>
      <c r="G42" s="20" t="b">
        <v>1</v>
      </c>
      <c r="H42" s="20" t="b">
        <v>1</v>
      </c>
      <c r="I42" s="18" t="str">
        <f>IF(Tabela24[[#This Row],[Federado]]=TRUE,"LIBERADO TRACKER","PENDENTE")</f>
        <v>LIBERADO TRACKER</v>
      </c>
      <c r="J42" s="20" t="b">
        <v>0</v>
      </c>
      <c r="K42" s="20" t="b">
        <v>0</v>
      </c>
      <c r="L42" s="20" t="b">
        <v>0</v>
      </c>
      <c r="M42" s="18" t="str">
        <f>IF(Tabela24[[#This Row],[Planta QR code]]=TRUE,"LIBERADO PARA OBRA","PENDENTE")</f>
        <v>PENDENTE</v>
      </c>
    </row>
    <row r="43" spans="1:13" x14ac:dyDescent="0.25">
      <c r="A43" s="18" t="s">
        <v>13</v>
      </c>
      <c r="B43" s="18" t="s">
        <v>14</v>
      </c>
      <c r="C43" s="18" t="s">
        <v>15</v>
      </c>
      <c r="D43" s="24" t="s">
        <v>24</v>
      </c>
      <c r="E43" s="18">
        <f t="shared" si="0"/>
        <v>42</v>
      </c>
      <c r="F43" s="20" t="b">
        <v>1</v>
      </c>
      <c r="G43" s="20" t="b">
        <v>1</v>
      </c>
      <c r="H43" s="20" t="b">
        <v>1</v>
      </c>
      <c r="I43" s="18" t="str">
        <f>IF(Tabela24[[#This Row],[Federado]]=TRUE,"LIBERADO TRACKER","PENDENTE")</f>
        <v>LIBERADO TRACKER</v>
      </c>
      <c r="J43" s="20" t="b">
        <v>0</v>
      </c>
      <c r="K43" s="20" t="b">
        <v>0</v>
      </c>
      <c r="L43" s="20" t="b">
        <v>0</v>
      </c>
      <c r="M43" s="18" t="str">
        <f>IF(Tabela24[[#This Row],[Planta QR code]]=TRUE,"LIBERADO PARA OBRA","PENDENTE")</f>
        <v>PENDENTE</v>
      </c>
    </row>
    <row r="44" spans="1:13" x14ac:dyDescent="0.25">
      <c r="A44" s="18" t="s">
        <v>13</v>
      </c>
      <c r="B44" s="18" t="s">
        <v>14</v>
      </c>
      <c r="C44" s="18" t="s">
        <v>15</v>
      </c>
      <c r="D44" s="24" t="s">
        <v>23</v>
      </c>
      <c r="E44" s="18">
        <f t="shared" si="0"/>
        <v>43</v>
      </c>
      <c r="F44" s="20" t="b">
        <v>1</v>
      </c>
      <c r="G44" s="20" t="b">
        <v>1</v>
      </c>
      <c r="H44" s="20" t="b">
        <v>1</v>
      </c>
      <c r="I44" s="18" t="str">
        <f>IF(Tabela24[[#This Row],[Federado]]=TRUE,"LIBERADO TRACKER","PENDENTE")</f>
        <v>LIBERADO TRACKER</v>
      </c>
      <c r="J44" s="20" t="b">
        <v>0</v>
      </c>
      <c r="K44" s="20" t="b">
        <v>0</v>
      </c>
      <c r="L44" s="20" t="b">
        <v>0</v>
      </c>
      <c r="M44" s="18" t="str">
        <f>IF(Tabela24[[#This Row],[Planta QR code]]=TRUE,"LIBERADO PARA OBRA","PENDENTE")</f>
        <v>PENDENTE</v>
      </c>
    </row>
    <row r="45" spans="1:13" x14ac:dyDescent="0.25">
      <c r="A45" s="18" t="s">
        <v>13</v>
      </c>
      <c r="B45" s="18" t="s">
        <v>14</v>
      </c>
      <c r="C45" s="18" t="s">
        <v>79</v>
      </c>
      <c r="D45" s="19" t="s">
        <v>133</v>
      </c>
      <c r="E45" s="18">
        <f t="shared" si="0"/>
        <v>44</v>
      </c>
      <c r="F45" s="20" t="b">
        <v>1</v>
      </c>
      <c r="G45" s="20" t="b">
        <v>1</v>
      </c>
      <c r="H45" s="20" t="b">
        <v>1</v>
      </c>
      <c r="I45" s="18" t="str">
        <f>IF(Tabela24[[#This Row],[Federado]]=TRUE,"LIBERADO TRACKER","PENDENTE")</f>
        <v>LIBERADO TRACKER</v>
      </c>
      <c r="J45" s="20" t="b">
        <v>0</v>
      </c>
      <c r="K45" s="20" t="b">
        <v>0</v>
      </c>
      <c r="L45" s="20" t="b">
        <v>0</v>
      </c>
      <c r="M45" s="18" t="str">
        <f>IF(Tabela24[[#This Row],[Planta QR code]]=TRUE,"LIBERADO PARA OBRA","PENDENTE")</f>
        <v>PENDENTE</v>
      </c>
    </row>
    <row r="46" spans="1:13" x14ac:dyDescent="0.25">
      <c r="A46" s="18" t="s">
        <v>13</v>
      </c>
      <c r="B46" s="18" t="s">
        <v>14</v>
      </c>
      <c r="C46" s="18" t="s">
        <v>79</v>
      </c>
      <c r="D46" s="19" t="s">
        <v>134</v>
      </c>
      <c r="E46" s="18">
        <f t="shared" si="0"/>
        <v>45</v>
      </c>
      <c r="F46" s="20" t="b">
        <v>1</v>
      </c>
      <c r="G46" s="20" t="b">
        <v>1</v>
      </c>
      <c r="H46" s="20" t="b">
        <v>1</v>
      </c>
      <c r="I46" s="18" t="str">
        <f>IF(Tabela24[[#This Row],[Federado]]=TRUE,"LIBERADO TRACKER","PENDENTE")</f>
        <v>LIBERADO TRACKER</v>
      </c>
      <c r="J46" s="20" t="b">
        <v>0</v>
      </c>
      <c r="K46" s="20" t="b">
        <v>0</v>
      </c>
      <c r="L46" s="20" t="b">
        <v>0</v>
      </c>
      <c r="M46" s="18" t="str">
        <f>IF(Tabela24[[#This Row],[Planta QR code]]=TRUE,"LIBERADO PARA OBRA","PENDENTE")</f>
        <v>PENDENTE</v>
      </c>
    </row>
    <row r="47" spans="1:13" x14ac:dyDescent="0.25">
      <c r="A47" s="18" t="s">
        <v>13</v>
      </c>
      <c r="B47" s="18" t="s">
        <v>14</v>
      </c>
      <c r="C47" s="18" t="s">
        <v>85</v>
      </c>
      <c r="D47" s="19" t="s">
        <v>159</v>
      </c>
      <c r="E47" s="18">
        <f t="shared" si="0"/>
        <v>46</v>
      </c>
      <c r="F47" s="20" t="b">
        <v>1</v>
      </c>
      <c r="G47" s="20" t="b">
        <v>1</v>
      </c>
      <c r="H47" s="20" t="b">
        <v>1</v>
      </c>
      <c r="I47" s="18" t="str">
        <f>IF(Tabela24[[#This Row],[Federado]]=TRUE,"LIBERADO TRACKER","PENDENTE")</f>
        <v>LIBERADO TRACKER</v>
      </c>
      <c r="J47" s="20" t="b">
        <v>0</v>
      </c>
      <c r="K47" s="20" t="b">
        <v>0</v>
      </c>
      <c r="L47" s="20" t="b">
        <v>0</v>
      </c>
      <c r="M47" s="18" t="str">
        <f>IF(Tabela24[[#This Row],[Planta QR code]]=TRUE,"LIBERADO PARA OBRA","PENDENTE")</f>
        <v>PENDENTE</v>
      </c>
    </row>
    <row r="48" spans="1:13" x14ac:dyDescent="0.25">
      <c r="A48" s="18" t="s">
        <v>13</v>
      </c>
      <c r="B48" s="18" t="s">
        <v>14</v>
      </c>
      <c r="C48" s="18" t="s">
        <v>85</v>
      </c>
      <c r="D48" s="19" t="s">
        <v>156</v>
      </c>
      <c r="E48" s="18">
        <f t="shared" si="0"/>
        <v>47</v>
      </c>
      <c r="F48" s="20" t="b">
        <v>1</v>
      </c>
      <c r="G48" s="20" t="b">
        <v>1</v>
      </c>
      <c r="H48" s="20" t="b">
        <v>1</v>
      </c>
      <c r="I48" s="18" t="str">
        <f>IF(Tabela24[[#This Row],[Federado]]=TRUE,"LIBERADO TRACKER","PENDENTE")</f>
        <v>LIBERADO TRACKER</v>
      </c>
      <c r="J48" s="20" t="b">
        <v>0</v>
      </c>
      <c r="K48" s="20" t="b">
        <v>0</v>
      </c>
      <c r="L48" s="20" t="b">
        <v>0</v>
      </c>
      <c r="M48" s="18" t="str">
        <f>IF(Tabela24[[#This Row],[Planta QR code]]=TRUE,"LIBERADO PARA OBRA","PENDENTE")</f>
        <v>PENDENTE</v>
      </c>
    </row>
    <row r="49" spans="1:13" x14ac:dyDescent="0.25">
      <c r="A49" s="18" t="s">
        <v>13</v>
      </c>
      <c r="B49" s="18" t="s">
        <v>14</v>
      </c>
      <c r="C49" s="18" t="s">
        <v>85</v>
      </c>
      <c r="D49" s="19" t="s">
        <v>155</v>
      </c>
      <c r="E49" s="18">
        <f t="shared" si="0"/>
        <v>48</v>
      </c>
      <c r="F49" s="20" t="b">
        <v>1</v>
      </c>
      <c r="G49" s="20" t="b">
        <v>1</v>
      </c>
      <c r="H49" s="20" t="b">
        <v>1</v>
      </c>
      <c r="I49" s="18" t="str">
        <f>IF(Tabela24[[#This Row],[Federado]]=TRUE,"LIBERADO TRACKER","PENDENTE")</f>
        <v>LIBERADO TRACKER</v>
      </c>
      <c r="J49" s="20" t="b">
        <v>0</v>
      </c>
      <c r="K49" s="20" t="b">
        <v>0</v>
      </c>
      <c r="L49" s="20" t="b">
        <v>0</v>
      </c>
      <c r="M49" s="18" t="str">
        <f>IF(Tabela24[[#This Row],[Planta QR code]]=TRUE,"LIBERADO PARA OBRA","PENDENTE")</f>
        <v>PENDENTE</v>
      </c>
    </row>
    <row r="50" spans="1:13" x14ac:dyDescent="0.25">
      <c r="A50" s="18" t="s">
        <v>13</v>
      </c>
      <c r="B50" s="18" t="s">
        <v>14</v>
      </c>
      <c r="C50" s="18" t="s">
        <v>85</v>
      </c>
      <c r="D50" s="19" t="s">
        <v>160</v>
      </c>
      <c r="E50" s="18">
        <f t="shared" si="0"/>
        <v>49</v>
      </c>
      <c r="F50" s="20" t="b">
        <v>1</v>
      </c>
      <c r="G50" s="20" t="b">
        <v>1</v>
      </c>
      <c r="H50" s="20" t="b">
        <v>1</v>
      </c>
      <c r="I50" s="18" t="str">
        <f>IF(Tabela24[[#This Row],[Federado]]=TRUE,"LIBERADO TRACKER","PENDENTE")</f>
        <v>LIBERADO TRACKER</v>
      </c>
      <c r="J50" s="20" t="b">
        <v>0</v>
      </c>
      <c r="K50" s="20" t="b">
        <v>0</v>
      </c>
      <c r="L50" s="20" t="b">
        <v>0</v>
      </c>
      <c r="M50" s="18" t="str">
        <f>IF(Tabela24[[#This Row],[Planta QR code]]=TRUE,"LIBERADO PARA OBRA","PENDENTE")</f>
        <v>PENDENTE</v>
      </c>
    </row>
    <row r="51" spans="1:13" x14ac:dyDescent="0.25">
      <c r="A51" s="18" t="s">
        <v>13</v>
      </c>
      <c r="B51" s="18" t="s">
        <v>14</v>
      </c>
      <c r="C51" s="18" t="s">
        <v>85</v>
      </c>
      <c r="D51" s="19" t="s">
        <v>161</v>
      </c>
      <c r="E51" s="18">
        <f t="shared" si="0"/>
        <v>50</v>
      </c>
      <c r="F51" s="20" t="b">
        <v>1</v>
      </c>
      <c r="G51" s="20" t="b">
        <v>1</v>
      </c>
      <c r="H51" s="20" t="b">
        <v>1</v>
      </c>
      <c r="I51" s="18" t="str">
        <f>IF(Tabela24[[#This Row],[Federado]]=TRUE,"LIBERADO TRACKER","PENDENTE")</f>
        <v>LIBERADO TRACKER</v>
      </c>
      <c r="J51" s="20" t="b">
        <v>0</v>
      </c>
      <c r="K51" s="20" t="b">
        <v>0</v>
      </c>
      <c r="L51" s="20" t="b">
        <v>0</v>
      </c>
      <c r="M51" s="18" t="str">
        <f>IF(Tabela24[[#This Row],[Planta QR code]]=TRUE,"LIBERADO PARA OBRA","PENDENTE")</f>
        <v>PENDENTE</v>
      </c>
    </row>
    <row r="52" spans="1:13" x14ac:dyDescent="0.25">
      <c r="A52" s="18" t="s">
        <v>13</v>
      </c>
      <c r="B52" s="18" t="s">
        <v>14</v>
      </c>
      <c r="C52" s="18" t="s">
        <v>85</v>
      </c>
      <c r="D52" s="19" t="s">
        <v>154</v>
      </c>
      <c r="E52" s="18">
        <f t="shared" si="0"/>
        <v>51</v>
      </c>
      <c r="F52" s="20" t="b">
        <v>1</v>
      </c>
      <c r="G52" s="20" t="b">
        <v>1</v>
      </c>
      <c r="H52" s="20" t="b">
        <v>1</v>
      </c>
      <c r="I52" s="18" t="str">
        <f>IF(Tabela24[[#This Row],[Federado]]=TRUE,"LIBERADO TRACKER","PENDENTE")</f>
        <v>LIBERADO TRACKER</v>
      </c>
      <c r="J52" s="20" t="b">
        <v>0</v>
      </c>
      <c r="K52" s="20" t="b">
        <v>0</v>
      </c>
      <c r="L52" s="20" t="b">
        <v>0</v>
      </c>
      <c r="M52" s="18" t="str">
        <f>IF(Tabela24[[#This Row],[Planta QR code]]=TRUE,"LIBERADO PARA OBRA","PENDENTE")</f>
        <v>PENDENTE</v>
      </c>
    </row>
    <row r="53" spans="1:13" x14ac:dyDescent="0.25">
      <c r="A53" s="18" t="s">
        <v>13</v>
      </c>
      <c r="B53" s="18" t="s">
        <v>14</v>
      </c>
      <c r="C53" s="18" t="s">
        <v>85</v>
      </c>
      <c r="D53" s="19" t="s">
        <v>153</v>
      </c>
      <c r="E53" s="18">
        <f t="shared" si="0"/>
        <v>52</v>
      </c>
      <c r="F53" s="20" t="b">
        <v>1</v>
      </c>
      <c r="G53" s="20" t="b">
        <v>1</v>
      </c>
      <c r="H53" s="20" t="b">
        <v>1</v>
      </c>
      <c r="I53" s="18" t="str">
        <f>IF(Tabela24[[#This Row],[Federado]]=TRUE,"LIBERADO TRACKER","PENDENTE")</f>
        <v>LIBERADO TRACKER</v>
      </c>
      <c r="J53" s="20" t="b">
        <v>0</v>
      </c>
      <c r="K53" s="20" t="b">
        <v>0</v>
      </c>
      <c r="L53" s="20" t="b">
        <v>0</v>
      </c>
      <c r="M53" s="18" t="str">
        <f>IF(Tabela24[[#This Row],[Planta QR code]]=TRUE,"LIBERADO PARA OBRA","PENDENTE")</f>
        <v>PENDENTE</v>
      </c>
    </row>
    <row r="54" spans="1:13" x14ac:dyDescent="0.25">
      <c r="A54" s="18" t="s">
        <v>13</v>
      </c>
      <c r="B54" s="18" t="s">
        <v>14</v>
      </c>
      <c r="C54" s="18" t="s">
        <v>85</v>
      </c>
      <c r="D54" s="19" t="s">
        <v>152</v>
      </c>
      <c r="E54" s="18">
        <f t="shared" si="0"/>
        <v>53</v>
      </c>
      <c r="F54" s="20" t="b">
        <v>1</v>
      </c>
      <c r="G54" s="20" t="b">
        <v>1</v>
      </c>
      <c r="H54" s="20" t="b">
        <v>1</v>
      </c>
      <c r="I54" s="18" t="str">
        <f>IF(Tabela24[[#This Row],[Federado]]=TRUE,"LIBERADO TRACKER","PENDENTE")</f>
        <v>LIBERADO TRACKER</v>
      </c>
      <c r="J54" s="20" t="b">
        <v>0</v>
      </c>
      <c r="K54" s="20" t="b">
        <v>0</v>
      </c>
      <c r="L54" s="20" t="b">
        <v>0</v>
      </c>
      <c r="M54" s="18" t="str">
        <f>IF(Tabela24[[#This Row],[Planta QR code]]=TRUE,"LIBERADO PARA OBRA","PENDENTE")</f>
        <v>PENDENTE</v>
      </c>
    </row>
    <row r="55" spans="1:13" x14ac:dyDescent="0.25">
      <c r="A55" s="18" t="s">
        <v>13</v>
      </c>
      <c r="B55" s="18" t="s">
        <v>14</v>
      </c>
      <c r="C55" s="18" t="s">
        <v>85</v>
      </c>
      <c r="D55" s="19" t="s">
        <v>151</v>
      </c>
      <c r="E55" s="18">
        <f t="shared" si="0"/>
        <v>54</v>
      </c>
      <c r="F55" s="20" t="b">
        <v>1</v>
      </c>
      <c r="G55" s="20" t="b">
        <v>1</v>
      </c>
      <c r="H55" s="20" t="b">
        <v>1</v>
      </c>
      <c r="I55" s="18" t="str">
        <f>IF(Tabela24[[#This Row],[Federado]]=TRUE,"LIBERADO TRACKER","PENDENTE")</f>
        <v>LIBERADO TRACKER</v>
      </c>
      <c r="J55" s="20" t="b">
        <v>0</v>
      </c>
      <c r="K55" s="20" t="b">
        <v>0</v>
      </c>
      <c r="L55" s="20" t="b">
        <v>0</v>
      </c>
      <c r="M55" s="18" t="str">
        <f>IF(Tabela24[[#This Row],[Planta QR code]]=TRUE,"LIBERADO PARA OBRA","PENDENTE")</f>
        <v>PENDENTE</v>
      </c>
    </row>
    <row r="56" spans="1:13" x14ac:dyDescent="0.25">
      <c r="A56" s="18" t="s">
        <v>13</v>
      </c>
      <c r="B56" s="18" t="s">
        <v>14</v>
      </c>
      <c r="C56" s="18" t="s">
        <v>85</v>
      </c>
      <c r="D56" s="19" t="s">
        <v>336</v>
      </c>
      <c r="E56" s="18">
        <f t="shared" si="0"/>
        <v>55</v>
      </c>
      <c r="F56" s="20" t="b">
        <v>1</v>
      </c>
      <c r="G56" s="20" t="b">
        <v>1</v>
      </c>
      <c r="H56" s="20" t="b">
        <v>1</v>
      </c>
      <c r="I56" s="18" t="str">
        <f>IF(Tabela24[[#This Row],[Federado]]=TRUE,"LIBERADO TRACKER","PENDENTE")</f>
        <v>LIBERADO TRACKER</v>
      </c>
      <c r="J56" s="20" t="b">
        <v>0</v>
      </c>
      <c r="K56" s="20" t="b">
        <v>0</v>
      </c>
      <c r="L56" s="20" t="b">
        <v>0</v>
      </c>
      <c r="M56" s="18" t="str">
        <f>IF(Tabela24[[#This Row],[Planta QR code]]=TRUE,"LIBERADO PARA OBRA","PENDENTE")</f>
        <v>PENDENTE</v>
      </c>
    </row>
    <row r="57" spans="1:13" x14ac:dyDescent="0.25">
      <c r="A57" s="18" t="s">
        <v>13</v>
      </c>
      <c r="B57" s="18" t="s">
        <v>14</v>
      </c>
      <c r="C57" s="18" t="s">
        <v>85</v>
      </c>
      <c r="D57" s="19" t="s">
        <v>358</v>
      </c>
      <c r="E57" s="18">
        <f t="shared" si="0"/>
        <v>56</v>
      </c>
      <c r="F57" s="20" t="b">
        <v>1</v>
      </c>
      <c r="G57" s="20" t="b">
        <v>1</v>
      </c>
      <c r="H57" s="20" t="b">
        <v>1</v>
      </c>
      <c r="I57" s="18" t="str">
        <f>IF(Tabela24[[#This Row],[Federado]]=TRUE,"LIBERADO TRACKER","PENDENTE")</f>
        <v>LIBERADO TRACKER</v>
      </c>
      <c r="J57" s="20" t="b">
        <v>0</v>
      </c>
      <c r="K57" s="20" t="b">
        <v>0</v>
      </c>
      <c r="L57" s="20" t="b">
        <v>0</v>
      </c>
      <c r="M57" s="18" t="str">
        <f>IF(Tabela24[[#This Row],[Planta QR code]]=TRUE,"LIBERADO PARA OBRA","PENDENTE")</f>
        <v>PENDENTE</v>
      </c>
    </row>
    <row r="58" spans="1:13" x14ac:dyDescent="0.25">
      <c r="A58" s="18" t="s">
        <v>13</v>
      </c>
      <c r="B58" s="18" t="s">
        <v>14</v>
      </c>
      <c r="C58" s="18" t="s">
        <v>85</v>
      </c>
      <c r="D58" s="19" t="s">
        <v>157</v>
      </c>
      <c r="E58" s="18">
        <f t="shared" si="0"/>
        <v>57</v>
      </c>
      <c r="F58" s="20" t="b">
        <v>1</v>
      </c>
      <c r="G58" s="20" t="b">
        <v>1</v>
      </c>
      <c r="H58" s="20" t="b">
        <v>1</v>
      </c>
      <c r="I58" s="18" t="str">
        <f>IF(Tabela24[[#This Row],[Federado]]=TRUE,"LIBERADO TRACKER","PENDENTE")</f>
        <v>LIBERADO TRACKER</v>
      </c>
      <c r="J58" s="20" t="b">
        <v>0</v>
      </c>
      <c r="K58" s="20" t="b">
        <v>0</v>
      </c>
      <c r="L58" s="20" t="b">
        <v>0</v>
      </c>
      <c r="M58" s="18" t="str">
        <f>IF(Tabela24[[#This Row],[Planta QR code]]=TRUE,"LIBERADO PARA OBRA","PENDENTE")</f>
        <v>PENDENTE</v>
      </c>
    </row>
    <row r="59" spans="1:13" x14ac:dyDescent="0.25">
      <c r="A59" s="18" t="s">
        <v>13</v>
      </c>
      <c r="B59" s="18" t="s">
        <v>14</v>
      </c>
      <c r="C59" s="18" t="s">
        <v>85</v>
      </c>
      <c r="D59" s="19" t="s">
        <v>158</v>
      </c>
      <c r="E59" s="18">
        <f t="shared" si="0"/>
        <v>58</v>
      </c>
      <c r="F59" s="20" t="b">
        <v>1</v>
      </c>
      <c r="G59" s="20" t="b">
        <v>1</v>
      </c>
      <c r="H59" s="20" t="b">
        <v>1</v>
      </c>
      <c r="I59" s="18" t="str">
        <f>IF(Tabela24[[#This Row],[Federado]]=TRUE,"LIBERADO TRACKER","PENDENTE")</f>
        <v>LIBERADO TRACKER</v>
      </c>
      <c r="J59" s="20" t="b">
        <v>0</v>
      </c>
      <c r="K59" s="20" t="b">
        <v>0</v>
      </c>
      <c r="L59" s="20" t="b">
        <v>0</v>
      </c>
      <c r="M59" s="18" t="str">
        <f>IF(Tabela24[[#This Row],[Planta QR code]]=TRUE,"LIBERADO PARA OBRA","PENDENTE")</f>
        <v>PENDENTE</v>
      </c>
    </row>
    <row r="60" spans="1:13" x14ac:dyDescent="0.25">
      <c r="A60" s="18" t="s">
        <v>13</v>
      </c>
      <c r="B60" s="18" t="s">
        <v>14</v>
      </c>
      <c r="C60" s="18" t="s">
        <v>85</v>
      </c>
      <c r="D60" s="19" t="s">
        <v>150</v>
      </c>
      <c r="E60" s="18">
        <f t="shared" si="0"/>
        <v>59</v>
      </c>
      <c r="F60" s="20" t="b">
        <v>1</v>
      </c>
      <c r="G60" s="20" t="b">
        <v>1</v>
      </c>
      <c r="H60" s="20" t="b">
        <v>1</v>
      </c>
      <c r="I60" s="18" t="str">
        <f>IF(Tabela24[[#This Row],[Federado]]=TRUE,"LIBERADO TRACKER","PENDENTE")</f>
        <v>LIBERADO TRACKER</v>
      </c>
      <c r="J60" s="20" t="b">
        <v>0</v>
      </c>
      <c r="K60" s="20" t="b">
        <v>0</v>
      </c>
      <c r="L60" s="20" t="b">
        <v>0</v>
      </c>
      <c r="M60" s="18" t="str">
        <f>IF(Tabela24[[#This Row],[Planta QR code]]=TRUE,"LIBERADO PARA OBRA","PENDENTE")</f>
        <v>PENDENTE</v>
      </c>
    </row>
    <row r="61" spans="1:13" x14ac:dyDescent="0.25">
      <c r="A61" s="18" t="s">
        <v>13</v>
      </c>
      <c r="B61" s="18" t="s">
        <v>14</v>
      </c>
      <c r="C61" s="18" t="s">
        <v>85</v>
      </c>
      <c r="D61" s="19" t="s">
        <v>149</v>
      </c>
      <c r="E61" s="18">
        <f t="shared" si="0"/>
        <v>60</v>
      </c>
      <c r="F61" s="20" t="b">
        <v>1</v>
      </c>
      <c r="G61" s="20" t="b">
        <v>1</v>
      </c>
      <c r="H61" s="20" t="b">
        <v>1</v>
      </c>
      <c r="I61" s="18" t="str">
        <f>IF(Tabela24[[#This Row],[Federado]]=TRUE,"LIBERADO TRACKER","PENDENTE")</f>
        <v>LIBERADO TRACKER</v>
      </c>
      <c r="J61" s="20" t="b">
        <v>0</v>
      </c>
      <c r="K61" s="20" t="b">
        <v>0</v>
      </c>
      <c r="L61" s="20" t="b">
        <v>0</v>
      </c>
      <c r="M61" s="18" t="str">
        <f>IF(Tabela24[[#This Row],[Planta QR code]]=TRUE,"LIBERADO PARA OBRA","PENDENTE")</f>
        <v>PENDENTE</v>
      </c>
    </row>
    <row r="62" spans="1:13" x14ac:dyDescent="0.25">
      <c r="A62" s="18" t="s">
        <v>13</v>
      </c>
      <c r="B62" s="18" t="s">
        <v>14</v>
      </c>
      <c r="C62" s="18" t="s">
        <v>85</v>
      </c>
      <c r="D62" s="19" t="s">
        <v>148</v>
      </c>
      <c r="E62" s="18">
        <f t="shared" si="0"/>
        <v>61</v>
      </c>
      <c r="F62" s="20" t="b">
        <v>1</v>
      </c>
      <c r="G62" s="20" t="b">
        <v>1</v>
      </c>
      <c r="H62" s="20" t="b">
        <v>1</v>
      </c>
      <c r="I62" s="18" t="str">
        <f>IF(Tabela24[[#This Row],[Federado]]=TRUE,"LIBERADO TRACKER","PENDENTE")</f>
        <v>LIBERADO TRACKER</v>
      </c>
      <c r="J62" s="20" t="b">
        <v>0</v>
      </c>
      <c r="K62" s="20" t="b">
        <v>0</v>
      </c>
      <c r="L62" s="20" t="b">
        <v>0</v>
      </c>
      <c r="M62" s="18" t="str">
        <f>IF(Tabela24[[#This Row],[Planta QR code]]=TRUE,"LIBERADO PARA OBRA","PENDENTE")</f>
        <v>PENDENTE</v>
      </c>
    </row>
    <row r="63" spans="1:13" x14ac:dyDescent="0.25">
      <c r="A63" s="18" t="s">
        <v>13</v>
      </c>
      <c r="B63" s="18" t="s">
        <v>14</v>
      </c>
      <c r="C63" s="18" t="s">
        <v>85</v>
      </c>
      <c r="D63" s="23" t="s">
        <v>147</v>
      </c>
      <c r="E63" s="18">
        <f t="shared" si="0"/>
        <v>62</v>
      </c>
      <c r="F63" s="20" t="b">
        <v>1</v>
      </c>
      <c r="G63" s="20" t="b">
        <v>1</v>
      </c>
      <c r="H63" s="20" t="b">
        <v>1</v>
      </c>
      <c r="I63" s="18" t="str">
        <f>IF(Tabela24[[#This Row],[Federado]]=TRUE,"LIBERADO TRACKER","PENDENTE")</f>
        <v>LIBERADO TRACKER</v>
      </c>
      <c r="J63" s="20" t="b">
        <v>0</v>
      </c>
      <c r="K63" s="20" t="b">
        <v>0</v>
      </c>
      <c r="L63" s="20" t="b">
        <v>0</v>
      </c>
      <c r="M63" s="18" t="str">
        <f>IF(Tabela24[[#This Row],[Planta QR code]]=TRUE,"LIBERADO PARA OBRA","PENDENTE")</f>
        <v>PENDENTE</v>
      </c>
    </row>
    <row r="64" spans="1:13" x14ac:dyDescent="0.25">
      <c r="A64" s="18" t="s">
        <v>13</v>
      </c>
      <c r="B64" s="18" t="s">
        <v>14</v>
      </c>
      <c r="C64" s="18" t="s">
        <v>85</v>
      </c>
      <c r="D64" s="19" t="s">
        <v>142</v>
      </c>
      <c r="E64" s="18">
        <f t="shared" si="0"/>
        <v>63</v>
      </c>
      <c r="F64" s="20" t="b">
        <v>1</v>
      </c>
      <c r="G64" s="20" t="b">
        <v>1</v>
      </c>
      <c r="H64" s="20" t="b">
        <v>1</v>
      </c>
      <c r="I64" s="18" t="str">
        <f>IF(Tabela24[[#This Row],[Federado]]=TRUE,"LIBERADO TRACKER","PENDENTE")</f>
        <v>LIBERADO TRACKER</v>
      </c>
      <c r="J64" s="20" t="b">
        <v>0</v>
      </c>
      <c r="K64" s="20" t="b">
        <v>0</v>
      </c>
      <c r="L64" s="20" t="b">
        <v>0</v>
      </c>
      <c r="M64" s="18" t="str">
        <f>IF(Tabela24[[#This Row],[Planta QR code]]=TRUE,"LIBERADO PARA OBRA","PENDENTE")</f>
        <v>PENDENTE</v>
      </c>
    </row>
    <row r="65" spans="1:13" x14ac:dyDescent="0.25">
      <c r="A65" s="18" t="s">
        <v>13</v>
      </c>
      <c r="B65" s="18" t="s">
        <v>14</v>
      </c>
      <c r="C65" s="18" t="s">
        <v>85</v>
      </c>
      <c r="D65" s="19" t="s">
        <v>143</v>
      </c>
      <c r="E65" s="18">
        <f t="shared" si="0"/>
        <v>64</v>
      </c>
      <c r="F65" s="20" t="b">
        <v>1</v>
      </c>
      <c r="G65" s="20" t="b">
        <v>1</v>
      </c>
      <c r="H65" s="20" t="b">
        <v>1</v>
      </c>
      <c r="I65" s="18" t="str">
        <f>IF(Tabela24[[#This Row],[Federado]]=TRUE,"LIBERADO TRACKER","PENDENTE")</f>
        <v>LIBERADO TRACKER</v>
      </c>
      <c r="J65" s="20" t="b">
        <v>0</v>
      </c>
      <c r="K65" s="20" t="b">
        <v>0</v>
      </c>
      <c r="L65" s="20" t="b">
        <v>0</v>
      </c>
      <c r="M65" s="18" t="str">
        <f>IF(Tabela24[[#This Row],[Planta QR code]]=TRUE,"LIBERADO PARA OBRA","PENDENTE")</f>
        <v>PENDENTE</v>
      </c>
    </row>
    <row r="66" spans="1:13" x14ac:dyDescent="0.25">
      <c r="A66" s="18" t="s">
        <v>13</v>
      </c>
      <c r="B66" s="18" t="s">
        <v>14</v>
      </c>
      <c r="C66" s="18" t="s">
        <v>85</v>
      </c>
      <c r="D66" s="19" t="s">
        <v>144</v>
      </c>
      <c r="E66" s="18">
        <f t="shared" si="0"/>
        <v>65</v>
      </c>
      <c r="F66" s="20" t="b">
        <v>1</v>
      </c>
      <c r="G66" s="20" t="b">
        <v>1</v>
      </c>
      <c r="H66" s="20" t="b">
        <v>1</v>
      </c>
      <c r="I66" s="18" t="str">
        <f>IF(Tabela24[[#This Row],[Federado]]=TRUE,"LIBERADO TRACKER","PENDENTE")</f>
        <v>LIBERADO TRACKER</v>
      </c>
      <c r="J66" s="20" t="b">
        <v>0</v>
      </c>
      <c r="K66" s="20" t="b">
        <v>0</v>
      </c>
      <c r="L66" s="20" t="b">
        <v>0</v>
      </c>
      <c r="M66" s="18" t="str">
        <f>IF(Tabela24[[#This Row],[Planta QR code]]=TRUE,"LIBERADO PARA OBRA","PENDENTE")</f>
        <v>PENDENTE</v>
      </c>
    </row>
    <row r="67" spans="1:13" x14ac:dyDescent="0.25">
      <c r="A67" s="18" t="s">
        <v>13</v>
      </c>
      <c r="B67" s="18" t="s">
        <v>14</v>
      </c>
      <c r="C67" s="18" t="s">
        <v>85</v>
      </c>
      <c r="D67" s="19" t="s">
        <v>145</v>
      </c>
      <c r="E67" s="18">
        <f t="shared" si="0"/>
        <v>66</v>
      </c>
      <c r="F67" s="20" t="b">
        <v>1</v>
      </c>
      <c r="G67" s="20" t="b">
        <v>1</v>
      </c>
      <c r="H67" s="20" t="b">
        <v>1</v>
      </c>
      <c r="I67" s="18" t="str">
        <f>IF(Tabela24[[#This Row],[Federado]]=TRUE,"LIBERADO TRACKER","PENDENTE")</f>
        <v>LIBERADO TRACKER</v>
      </c>
      <c r="J67" s="20" t="b">
        <v>0</v>
      </c>
      <c r="K67" s="20" t="b">
        <v>0</v>
      </c>
      <c r="L67" s="20" t="b">
        <v>0</v>
      </c>
      <c r="M67" s="18" t="str">
        <f>IF(Tabela24[[#This Row],[Planta QR code]]=TRUE,"LIBERADO PARA OBRA","PENDENTE")</f>
        <v>PENDENTE</v>
      </c>
    </row>
    <row r="68" spans="1:13" x14ac:dyDescent="0.25">
      <c r="A68" s="18" t="s">
        <v>13</v>
      </c>
      <c r="B68" s="18" t="s">
        <v>14</v>
      </c>
      <c r="C68" s="18" t="s">
        <v>85</v>
      </c>
      <c r="D68" s="19" t="s">
        <v>146</v>
      </c>
      <c r="E68" s="18">
        <f t="shared" si="0"/>
        <v>67</v>
      </c>
      <c r="F68" s="20" t="b">
        <v>1</v>
      </c>
      <c r="G68" s="20" t="b">
        <v>1</v>
      </c>
      <c r="H68" s="20" t="b">
        <v>1</v>
      </c>
      <c r="I68" s="18" t="str">
        <f>IF(Tabela24[[#This Row],[Federado]]=TRUE,"LIBERADO TRACKER","PENDENTE")</f>
        <v>LIBERADO TRACKER</v>
      </c>
      <c r="J68" s="20" t="b">
        <v>0</v>
      </c>
      <c r="K68" s="20" t="b">
        <v>0</v>
      </c>
      <c r="L68" s="20" t="b">
        <v>0</v>
      </c>
      <c r="M68" s="18" t="str">
        <f>IF(Tabela24[[#This Row],[Planta QR code]]=TRUE,"LIBERADO PARA OBRA","PENDENTE")</f>
        <v>PENDENTE</v>
      </c>
    </row>
    <row r="69" spans="1:13" x14ac:dyDescent="0.25">
      <c r="A69" s="18" t="s">
        <v>13</v>
      </c>
      <c r="B69" s="18" t="s">
        <v>14</v>
      </c>
      <c r="C69" s="18" t="s">
        <v>85</v>
      </c>
      <c r="D69" s="19" t="s">
        <v>138</v>
      </c>
      <c r="E69" s="18">
        <f t="shared" ref="E69:E132" si="1">E68+1</f>
        <v>68</v>
      </c>
      <c r="F69" s="20" t="b">
        <v>1</v>
      </c>
      <c r="G69" s="20" t="b">
        <v>1</v>
      </c>
      <c r="H69" s="20" t="b">
        <v>1</v>
      </c>
      <c r="I69" s="18" t="str">
        <f>IF(Tabela24[[#This Row],[Federado]]=TRUE,"LIBERADO TRACKER","PENDENTE")</f>
        <v>LIBERADO TRACKER</v>
      </c>
      <c r="J69" s="20" t="b">
        <v>0</v>
      </c>
      <c r="K69" s="20" t="b">
        <v>0</v>
      </c>
      <c r="L69" s="20" t="b">
        <v>0</v>
      </c>
      <c r="M69" s="18" t="str">
        <f>IF(Tabela24[[#This Row],[Planta QR code]]=TRUE,"LIBERADO PARA OBRA","PENDENTE")</f>
        <v>PENDENTE</v>
      </c>
    </row>
    <row r="70" spans="1:13" x14ac:dyDescent="0.25">
      <c r="A70" s="18" t="s">
        <v>13</v>
      </c>
      <c r="B70" s="18" t="s">
        <v>14</v>
      </c>
      <c r="C70" s="18" t="s">
        <v>85</v>
      </c>
      <c r="D70" s="19" t="s">
        <v>139</v>
      </c>
      <c r="E70" s="18">
        <f t="shared" si="1"/>
        <v>69</v>
      </c>
      <c r="F70" s="20" t="b">
        <v>1</v>
      </c>
      <c r="G70" s="20" t="b">
        <v>1</v>
      </c>
      <c r="H70" s="20" t="b">
        <v>1</v>
      </c>
      <c r="I70" s="18" t="str">
        <f>IF(Tabela24[[#This Row],[Federado]]=TRUE,"LIBERADO TRACKER","PENDENTE")</f>
        <v>LIBERADO TRACKER</v>
      </c>
      <c r="J70" s="20" t="b">
        <v>0</v>
      </c>
      <c r="K70" s="20" t="b">
        <v>0</v>
      </c>
      <c r="L70" s="20" t="b">
        <v>0</v>
      </c>
      <c r="M70" s="18" t="str">
        <f>IF(Tabela24[[#This Row],[Planta QR code]]=TRUE,"LIBERADO PARA OBRA","PENDENTE")</f>
        <v>PENDENTE</v>
      </c>
    </row>
    <row r="71" spans="1:13" x14ac:dyDescent="0.25">
      <c r="A71" s="18" t="s">
        <v>13</v>
      </c>
      <c r="B71" s="18" t="s">
        <v>14</v>
      </c>
      <c r="C71" s="18" t="s">
        <v>85</v>
      </c>
      <c r="D71" s="23" t="s">
        <v>137</v>
      </c>
      <c r="E71" s="18">
        <f t="shared" si="1"/>
        <v>70</v>
      </c>
      <c r="F71" s="20" t="b">
        <v>1</v>
      </c>
      <c r="G71" s="20" t="b">
        <v>1</v>
      </c>
      <c r="H71" s="20" t="b">
        <v>1</v>
      </c>
      <c r="I71" s="18" t="str">
        <f>IF(Tabela24[[#This Row],[Federado]]=TRUE,"LIBERADO TRACKER","PENDENTE")</f>
        <v>LIBERADO TRACKER</v>
      </c>
      <c r="J71" s="20" t="b">
        <v>0</v>
      </c>
      <c r="K71" s="20" t="b">
        <v>0</v>
      </c>
      <c r="L71" s="20" t="b">
        <v>0</v>
      </c>
      <c r="M71" s="18" t="str">
        <f>IF(Tabela24[[#This Row],[Planta QR code]]=TRUE,"LIBERADO PARA OBRA","PENDENTE")</f>
        <v>PENDENTE</v>
      </c>
    </row>
    <row r="72" spans="1:13" x14ac:dyDescent="0.25">
      <c r="A72" s="18" t="s">
        <v>13</v>
      </c>
      <c r="B72" s="18" t="s">
        <v>14</v>
      </c>
      <c r="C72" s="18" t="s">
        <v>85</v>
      </c>
      <c r="D72" s="19" t="s">
        <v>135</v>
      </c>
      <c r="E72" s="18">
        <f t="shared" si="1"/>
        <v>71</v>
      </c>
      <c r="F72" s="20" t="b">
        <v>1</v>
      </c>
      <c r="G72" s="20" t="b">
        <v>1</v>
      </c>
      <c r="H72" s="20" t="b">
        <v>1</v>
      </c>
      <c r="I72" s="18" t="str">
        <f>IF(Tabela24[[#This Row],[Federado]]=TRUE,"LIBERADO TRACKER","PENDENTE")</f>
        <v>LIBERADO TRACKER</v>
      </c>
      <c r="J72" s="20" t="b">
        <v>0</v>
      </c>
      <c r="K72" s="20" t="b">
        <v>0</v>
      </c>
      <c r="L72" s="20" t="b">
        <v>0</v>
      </c>
      <c r="M72" s="18" t="str">
        <f>IF(Tabela24[[#This Row],[Planta QR code]]=TRUE,"LIBERADO PARA OBRA","PENDENTE")</f>
        <v>PENDENTE</v>
      </c>
    </row>
    <row r="73" spans="1:13" x14ac:dyDescent="0.25">
      <c r="A73" s="18" t="s">
        <v>13</v>
      </c>
      <c r="B73" s="18" t="s">
        <v>14</v>
      </c>
      <c r="C73" s="18" t="s">
        <v>85</v>
      </c>
      <c r="D73" s="19" t="s">
        <v>136</v>
      </c>
      <c r="E73" s="18">
        <f t="shared" si="1"/>
        <v>72</v>
      </c>
      <c r="F73" s="20" t="b">
        <v>1</v>
      </c>
      <c r="G73" s="20" t="b">
        <v>1</v>
      </c>
      <c r="H73" s="20" t="b">
        <v>1</v>
      </c>
      <c r="I73" s="18" t="str">
        <f>IF(Tabela24[[#This Row],[Federado]]=TRUE,"LIBERADO TRACKER","PENDENTE")</f>
        <v>LIBERADO TRACKER</v>
      </c>
      <c r="J73" s="20" t="b">
        <v>0</v>
      </c>
      <c r="K73" s="20" t="b">
        <v>0</v>
      </c>
      <c r="L73" s="20" t="b">
        <v>0</v>
      </c>
      <c r="M73" s="18" t="str">
        <f>IF(Tabela24[[#This Row],[Planta QR code]]=TRUE,"LIBERADO PARA OBRA","PENDENTE")</f>
        <v>PENDENTE</v>
      </c>
    </row>
    <row r="74" spans="1:13" x14ac:dyDescent="0.25">
      <c r="A74" s="18" t="s">
        <v>13</v>
      </c>
      <c r="B74" s="18" t="s">
        <v>14</v>
      </c>
      <c r="C74" s="18" t="s">
        <v>85</v>
      </c>
      <c r="D74" s="19" t="s">
        <v>141</v>
      </c>
      <c r="E74" s="18">
        <f t="shared" si="1"/>
        <v>73</v>
      </c>
      <c r="F74" s="20" t="b">
        <v>1</v>
      </c>
      <c r="G74" s="20" t="b">
        <v>1</v>
      </c>
      <c r="H74" s="20" t="b">
        <v>1</v>
      </c>
      <c r="I74" s="18" t="str">
        <f>IF(Tabela24[[#This Row],[Federado]]=TRUE,"LIBERADO TRACKER","PENDENTE")</f>
        <v>LIBERADO TRACKER</v>
      </c>
      <c r="J74" s="20" t="b">
        <v>0</v>
      </c>
      <c r="K74" s="20" t="b">
        <v>0</v>
      </c>
      <c r="L74" s="20" t="b">
        <v>0</v>
      </c>
      <c r="M74" s="18" t="str">
        <f>IF(Tabela24[[#This Row],[Planta QR code]]=TRUE,"LIBERADO PARA OBRA","PENDENTE")</f>
        <v>PENDENTE</v>
      </c>
    </row>
    <row r="75" spans="1:13" x14ac:dyDescent="0.25">
      <c r="A75" s="18" t="s">
        <v>13</v>
      </c>
      <c r="B75" s="18" t="s">
        <v>14</v>
      </c>
      <c r="C75" s="18" t="s">
        <v>85</v>
      </c>
      <c r="D75" s="19" t="s">
        <v>140</v>
      </c>
      <c r="E75" s="18">
        <f t="shared" si="1"/>
        <v>74</v>
      </c>
      <c r="F75" s="20" t="b">
        <v>1</v>
      </c>
      <c r="G75" s="20" t="b">
        <v>1</v>
      </c>
      <c r="H75" s="20" t="b">
        <v>1</v>
      </c>
      <c r="I75" s="18" t="str">
        <f>IF(Tabela24[[#This Row],[Federado]]=TRUE,"LIBERADO TRACKER","PENDENTE")</f>
        <v>LIBERADO TRACKER</v>
      </c>
      <c r="J75" s="20" t="b">
        <v>0</v>
      </c>
      <c r="K75" s="20" t="b">
        <v>0</v>
      </c>
      <c r="L75" s="20" t="b">
        <v>0</v>
      </c>
      <c r="M75" s="18" t="str">
        <f>IF(Tabela24[[#This Row],[Planta QR code]]=TRUE,"LIBERADO PARA OBRA","PENDENTE")</f>
        <v>PENDENTE</v>
      </c>
    </row>
    <row r="76" spans="1:13" x14ac:dyDescent="0.25">
      <c r="A76" s="18" t="s">
        <v>13</v>
      </c>
      <c r="B76" s="18" t="s">
        <v>18</v>
      </c>
      <c r="C76" s="18" t="s">
        <v>15</v>
      </c>
      <c r="D76" s="19" t="s">
        <v>19</v>
      </c>
      <c r="E76" s="18">
        <f t="shared" si="1"/>
        <v>75</v>
      </c>
      <c r="F76" s="20" t="b">
        <v>1</v>
      </c>
      <c r="G76" s="20" t="b">
        <v>1</v>
      </c>
      <c r="H76" s="20" t="b">
        <v>1</v>
      </c>
      <c r="I76" s="18" t="str">
        <f>IF(Tabela24[[#This Row],[Federado]]=TRUE,"LIBERADO TRACKER","PENDENTE")</f>
        <v>LIBERADO TRACKER</v>
      </c>
      <c r="J76" s="20" t="b">
        <v>0</v>
      </c>
      <c r="K76" s="20" t="b">
        <v>0</v>
      </c>
      <c r="L76" s="20" t="b">
        <v>0</v>
      </c>
      <c r="M76" s="18" t="str">
        <f>IF(Tabela24[[#This Row],[Planta QR code]]=TRUE,"LIBERADO PARA OBRA","PENDENTE")</f>
        <v>PENDENTE</v>
      </c>
    </row>
    <row r="77" spans="1:13" x14ac:dyDescent="0.25">
      <c r="A77" s="18" t="s">
        <v>13</v>
      </c>
      <c r="B77" s="18" t="s">
        <v>18</v>
      </c>
      <c r="C77" s="18" t="s">
        <v>15</v>
      </c>
      <c r="D77" s="23" t="s">
        <v>56</v>
      </c>
      <c r="E77" s="18">
        <f t="shared" si="1"/>
        <v>76</v>
      </c>
      <c r="F77" s="20" t="b">
        <v>1</v>
      </c>
      <c r="G77" s="20" t="b">
        <v>1</v>
      </c>
      <c r="H77" s="20" t="b">
        <v>1</v>
      </c>
      <c r="I77" s="18" t="str">
        <f>IF(Tabela24[[#This Row],[Federado]]=TRUE,"LIBERADO TRACKER","PENDENTE")</f>
        <v>LIBERADO TRACKER</v>
      </c>
      <c r="J77" s="20" t="b">
        <v>1</v>
      </c>
      <c r="K77" s="20" t="b">
        <v>0</v>
      </c>
      <c r="L77" s="20" t="b">
        <v>0</v>
      </c>
      <c r="M77" s="18" t="str">
        <f>IF(Tabela24[[#This Row],[Planta QR code]]=TRUE,"LIBERADO PARA OBRA","PENDENTE")</f>
        <v>PENDENTE</v>
      </c>
    </row>
    <row r="78" spans="1:13" x14ac:dyDescent="0.25">
      <c r="A78" s="18" t="s">
        <v>13</v>
      </c>
      <c r="B78" s="18" t="s">
        <v>18</v>
      </c>
      <c r="C78" s="18" t="s">
        <v>15</v>
      </c>
      <c r="D78" s="23" t="s">
        <v>57</v>
      </c>
      <c r="E78" s="18">
        <f t="shared" si="1"/>
        <v>77</v>
      </c>
      <c r="F78" s="20" t="b">
        <v>1</v>
      </c>
      <c r="G78" s="20" t="b">
        <v>1</v>
      </c>
      <c r="H78" s="20" t="b">
        <v>1</v>
      </c>
      <c r="I78" s="18" t="str">
        <f>IF(Tabela24[[#This Row],[Federado]]=TRUE,"LIBERADO TRACKER","PENDENTE")</f>
        <v>LIBERADO TRACKER</v>
      </c>
      <c r="J78" s="20" t="b">
        <v>1</v>
      </c>
      <c r="K78" s="20" t="b">
        <v>0</v>
      </c>
      <c r="L78" s="20" t="b">
        <v>0</v>
      </c>
      <c r="M78" s="18" t="str">
        <f>IF(Tabela24[[#This Row],[Planta QR code]]=TRUE,"LIBERADO PARA OBRA","PENDENTE")</f>
        <v>PENDENTE</v>
      </c>
    </row>
    <row r="79" spans="1:13" x14ac:dyDescent="0.25">
      <c r="A79" s="18" t="s">
        <v>13</v>
      </c>
      <c r="B79" s="18" t="s">
        <v>18</v>
      </c>
      <c r="C79" s="18" t="s">
        <v>15</v>
      </c>
      <c r="D79" s="23" t="s">
        <v>65</v>
      </c>
      <c r="E79" s="18">
        <f t="shared" si="1"/>
        <v>78</v>
      </c>
      <c r="F79" s="20" t="b">
        <v>1</v>
      </c>
      <c r="G79" s="20" t="b">
        <v>1</v>
      </c>
      <c r="H79" s="20" t="b">
        <v>1</v>
      </c>
      <c r="I79" s="18" t="str">
        <f>IF(Tabela24[[#This Row],[Federado]]=TRUE,"LIBERADO TRACKER","PENDENTE")</f>
        <v>LIBERADO TRACKER</v>
      </c>
      <c r="J79" s="20" t="b">
        <v>1</v>
      </c>
      <c r="K79" s="20" t="b">
        <v>0</v>
      </c>
      <c r="L79" s="20" t="b">
        <v>0</v>
      </c>
      <c r="M79" s="18" t="str">
        <f>IF(Tabela24[[#This Row],[Planta QR code]]=TRUE,"LIBERADO PARA OBRA","PENDENTE")</f>
        <v>PENDENTE</v>
      </c>
    </row>
    <row r="80" spans="1:13" x14ac:dyDescent="0.25">
      <c r="A80" s="18" t="s">
        <v>13</v>
      </c>
      <c r="B80" s="18" t="s">
        <v>18</v>
      </c>
      <c r="C80" s="18" t="s">
        <v>15</v>
      </c>
      <c r="D80" s="23" t="s">
        <v>91</v>
      </c>
      <c r="E80" s="18">
        <f t="shared" si="1"/>
        <v>79</v>
      </c>
      <c r="F80" s="20" t="b">
        <v>1</v>
      </c>
      <c r="G80" s="20" t="b">
        <v>1</v>
      </c>
      <c r="H80" s="20" t="b">
        <v>1</v>
      </c>
      <c r="I80" s="18" t="str">
        <f>IF(Tabela24[[#This Row],[Federado]]=TRUE,"LIBERADO TRACKER","PENDENTE")</f>
        <v>LIBERADO TRACKER</v>
      </c>
      <c r="J80" s="20" t="b">
        <v>1</v>
      </c>
      <c r="K80" s="20" t="b">
        <v>0</v>
      </c>
      <c r="L80" s="20" t="b">
        <v>0</v>
      </c>
      <c r="M80" s="18" t="str">
        <f>IF(Tabela24[[#This Row],[Planta QR code]]=TRUE,"LIBERADO PARA OBRA","PENDENTE")</f>
        <v>PENDENTE</v>
      </c>
    </row>
    <row r="81" spans="1:13" x14ac:dyDescent="0.25">
      <c r="A81" s="18" t="s">
        <v>13</v>
      </c>
      <c r="B81" s="18" t="s">
        <v>18</v>
      </c>
      <c r="C81" s="18" t="s">
        <v>15</v>
      </c>
      <c r="D81" s="23" t="s">
        <v>64</v>
      </c>
      <c r="E81" s="18">
        <f t="shared" si="1"/>
        <v>80</v>
      </c>
      <c r="F81" s="20" t="b">
        <v>1</v>
      </c>
      <c r="G81" s="20" t="b">
        <v>1</v>
      </c>
      <c r="H81" s="20" t="b">
        <v>1</v>
      </c>
      <c r="I81" s="18" t="str">
        <f>IF(Tabela24[[#This Row],[Federado]]=TRUE,"LIBERADO TRACKER","PENDENTE")</f>
        <v>LIBERADO TRACKER</v>
      </c>
      <c r="J81" s="20" t="b">
        <v>0</v>
      </c>
      <c r="K81" s="20" t="b">
        <v>0</v>
      </c>
      <c r="L81" s="20" t="b">
        <v>0</v>
      </c>
      <c r="M81" s="18" t="str">
        <f>IF(Tabela24[[#This Row],[Planta QR code]]=TRUE,"LIBERADO PARA OBRA","PENDENTE")</f>
        <v>PENDENTE</v>
      </c>
    </row>
    <row r="82" spans="1:13" x14ac:dyDescent="0.25">
      <c r="A82" s="18" t="s">
        <v>13</v>
      </c>
      <c r="B82" s="18" t="s">
        <v>18</v>
      </c>
      <c r="C82" s="18" t="s">
        <v>15</v>
      </c>
      <c r="D82" s="23" t="s">
        <v>33</v>
      </c>
      <c r="E82" s="18">
        <f t="shared" si="1"/>
        <v>81</v>
      </c>
      <c r="F82" s="20" t="b">
        <v>1</v>
      </c>
      <c r="G82" s="20" t="b">
        <v>1</v>
      </c>
      <c r="H82" s="20" t="b">
        <v>1</v>
      </c>
      <c r="I82" s="18" t="str">
        <f>IF(Tabela24[[#This Row],[Federado]]=TRUE,"LIBERADO TRACKER","PENDENTE")</f>
        <v>LIBERADO TRACKER</v>
      </c>
      <c r="J82" s="20" t="b">
        <v>1</v>
      </c>
      <c r="K82" s="20" t="b">
        <v>0</v>
      </c>
      <c r="L82" s="20" t="b">
        <v>0</v>
      </c>
      <c r="M82" s="18" t="str">
        <f>IF(Tabela24[[#This Row],[Planta QR code]]=TRUE,"LIBERADO PARA OBRA","PENDENTE")</f>
        <v>PENDENTE</v>
      </c>
    </row>
    <row r="83" spans="1:13" x14ac:dyDescent="0.25">
      <c r="A83" s="18" t="s">
        <v>13</v>
      </c>
      <c r="B83" s="18" t="s">
        <v>18</v>
      </c>
      <c r="C83" s="18" t="s">
        <v>15</v>
      </c>
      <c r="D83" s="23" t="s">
        <v>31</v>
      </c>
      <c r="E83" s="18">
        <f t="shared" si="1"/>
        <v>82</v>
      </c>
      <c r="F83" s="20" t="b">
        <v>1</v>
      </c>
      <c r="G83" s="20" t="b">
        <v>1</v>
      </c>
      <c r="H83" s="20" t="b">
        <v>1</v>
      </c>
      <c r="I83" s="18" t="str">
        <f>IF(Tabela24[[#This Row],[Federado]]=TRUE,"LIBERADO TRACKER","PENDENTE")</f>
        <v>LIBERADO TRACKER</v>
      </c>
      <c r="J83" s="20" t="b">
        <v>1</v>
      </c>
      <c r="K83" s="20" t="b">
        <v>0</v>
      </c>
      <c r="L83" s="20" t="b">
        <v>0</v>
      </c>
      <c r="M83" s="18" t="str">
        <f>IF(Tabela24[[#This Row],[Planta QR code]]=TRUE,"LIBERADO PARA OBRA","PENDENTE")</f>
        <v>PENDENTE</v>
      </c>
    </row>
    <row r="84" spans="1:13" x14ac:dyDescent="0.25">
      <c r="A84" s="18" t="s">
        <v>13</v>
      </c>
      <c r="B84" s="18" t="s">
        <v>18</v>
      </c>
      <c r="C84" s="18" t="s">
        <v>15</v>
      </c>
      <c r="D84" s="23" t="s">
        <v>66</v>
      </c>
      <c r="E84" s="18">
        <f t="shared" si="1"/>
        <v>83</v>
      </c>
      <c r="F84" s="20" t="b">
        <v>1</v>
      </c>
      <c r="G84" s="20" t="b">
        <v>1</v>
      </c>
      <c r="H84" s="20" t="b">
        <v>1</v>
      </c>
      <c r="I84" s="18" t="str">
        <f>IF(Tabela24[[#This Row],[Federado]]=TRUE,"LIBERADO TRACKER","PENDENTE")</f>
        <v>LIBERADO TRACKER</v>
      </c>
      <c r="J84" s="20" t="b">
        <v>1</v>
      </c>
      <c r="K84" s="20" t="b">
        <v>0</v>
      </c>
      <c r="L84" s="20" t="b">
        <v>0</v>
      </c>
      <c r="M84" s="18" t="str">
        <f>IF(Tabela24[[#This Row],[Planta QR code]]=TRUE,"LIBERADO PARA OBRA","PENDENTE")</f>
        <v>PENDENTE</v>
      </c>
    </row>
    <row r="85" spans="1:13" x14ac:dyDescent="0.25">
      <c r="A85" s="18" t="s">
        <v>13</v>
      </c>
      <c r="B85" s="18" t="s">
        <v>18</v>
      </c>
      <c r="C85" s="18" t="s">
        <v>15</v>
      </c>
      <c r="D85" s="23" t="s">
        <v>59</v>
      </c>
      <c r="E85" s="18">
        <f t="shared" si="1"/>
        <v>84</v>
      </c>
      <c r="F85" s="20" t="b">
        <v>1</v>
      </c>
      <c r="G85" s="20" t="b">
        <v>1</v>
      </c>
      <c r="H85" s="20" t="b">
        <v>1</v>
      </c>
      <c r="I85" s="18" t="str">
        <f>IF(Tabela24[[#This Row],[Federado]]=TRUE,"LIBERADO TRACKER","PENDENTE")</f>
        <v>LIBERADO TRACKER</v>
      </c>
      <c r="J85" s="20" t="b">
        <v>1</v>
      </c>
      <c r="K85" s="20" t="b">
        <v>0</v>
      </c>
      <c r="L85" s="20" t="b">
        <v>0</v>
      </c>
      <c r="M85" s="18" t="str">
        <f>IF(Tabela24[[#This Row],[Planta QR code]]=TRUE,"LIBERADO PARA OBRA","PENDENTE")</f>
        <v>PENDENTE</v>
      </c>
    </row>
    <row r="86" spans="1:13" x14ac:dyDescent="0.25">
      <c r="A86" s="18" t="s">
        <v>13</v>
      </c>
      <c r="B86" s="18" t="s">
        <v>18</v>
      </c>
      <c r="C86" s="18" t="s">
        <v>15</v>
      </c>
      <c r="D86" s="23" t="s">
        <v>42</v>
      </c>
      <c r="E86" s="18">
        <f t="shared" si="1"/>
        <v>85</v>
      </c>
      <c r="F86" s="20" t="b">
        <v>1</v>
      </c>
      <c r="G86" s="20" t="b">
        <v>1</v>
      </c>
      <c r="H86" s="20" t="b">
        <v>1</v>
      </c>
      <c r="I86" s="18" t="str">
        <f>IF(Tabela24[[#This Row],[Federado]]=TRUE,"LIBERADO TRACKER","PENDENTE")</f>
        <v>LIBERADO TRACKER</v>
      </c>
      <c r="J86" s="20" t="b">
        <v>1</v>
      </c>
      <c r="K86" s="20" t="b">
        <v>0</v>
      </c>
      <c r="L86" s="20" t="b">
        <v>0</v>
      </c>
      <c r="M86" s="18" t="str">
        <f>IF(Tabela24[[#This Row],[Planta QR code]]=TRUE,"LIBERADO PARA OBRA","PENDENTE")</f>
        <v>PENDENTE</v>
      </c>
    </row>
    <row r="87" spans="1:13" x14ac:dyDescent="0.25">
      <c r="A87" s="18" t="s">
        <v>13</v>
      </c>
      <c r="B87" s="18" t="s">
        <v>18</v>
      </c>
      <c r="C87" s="18" t="s">
        <v>15</v>
      </c>
      <c r="D87" s="19" t="s">
        <v>45</v>
      </c>
      <c r="E87" s="18">
        <f t="shared" si="1"/>
        <v>86</v>
      </c>
      <c r="F87" s="20" t="b">
        <v>1</v>
      </c>
      <c r="G87" s="20" t="b">
        <v>1</v>
      </c>
      <c r="H87" s="20" t="b">
        <v>1</v>
      </c>
      <c r="I87" s="18" t="str">
        <f>IF(Tabela24[[#This Row],[Federado]]=TRUE,"LIBERADO TRACKER","PENDENTE")</f>
        <v>LIBERADO TRACKER</v>
      </c>
      <c r="J87" s="20" t="b">
        <v>1</v>
      </c>
      <c r="K87" s="20" t="b">
        <v>0</v>
      </c>
      <c r="L87" s="20" t="b">
        <v>0</v>
      </c>
      <c r="M87" s="18" t="str">
        <f>IF(Tabela24[[#This Row],[Planta QR code]]=TRUE,"LIBERADO PARA OBRA","PENDENTE")</f>
        <v>PENDENTE</v>
      </c>
    </row>
    <row r="88" spans="1:13" x14ac:dyDescent="0.25">
      <c r="A88" s="18" t="s">
        <v>13</v>
      </c>
      <c r="B88" s="18" t="s">
        <v>18</v>
      </c>
      <c r="C88" s="18" t="s">
        <v>15</v>
      </c>
      <c r="D88" s="19" t="s">
        <v>53</v>
      </c>
      <c r="E88" s="18">
        <f t="shared" si="1"/>
        <v>87</v>
      </c>
      <c r="F88" s="20" t="b">
        <v>1</v>
      </c>
      <c r="G88" s="20" t="b">
        <v>1</v>
      </c>
      <c r="H88" s="20" t="b">
        <v>1</v>
      </c>
      <c r="I88" s="18" t="str">
        <f>IF(Tabela24[[#This Row],[Federado]]=TRUE,"LIBERADO TRACKER","PENDENTE")</f>
        <v>LIBERADO TRACKER</v>
      </c>
      <c r="J88" s="20" t="b">
        <v>1</v>
      </c>
      <c r="K88" s="20" t="b">
        <v>0</v>
      </c>
      <c r="L88" s="20" t="b">
        <v>0</v>
      </c>
      <c r="M88" s="18" t="str">
        <f>IF(Tabela24[[#This Row],[Planta QR code]]=TRUE,"LIBERADO PARA OBRA","PENDENTE")</f>
        <v>PENDENTE</v>
      </c>
    </row>
    <row r="89" spans="1:13" x14ac:dyDescent="0.25">
      <c r="A89" s="18" t="s">
        <v>13</v>
      </c>
      <c r="B89" s="18" t="s">
        <v>18</v>
      </c>
      <c r="C89" s="18" t="s">
        <v>15</v>
      </c>
      <c r="D89" s="19" t="s">
        <v>306</v>
      </c>
      <c r="E89" s="18">
        <f t="shared" si="1"/>
        <v>88</v>
      </c>
      <c r="F89" s="20" t="b">
        <v>1</v>
      </c>
      <c r="G89" s="20" t="b">
        <v>1</v>
      </c>
      <c r="H89" s="20" t="b">
        <v>1</v>
      </c>
      <c r="I89" s="18" t="str">
        <f>IF(Tabela24[[#This Row],[Federado]]=TRUE,"LIBERADO TRACKER","PENDENTE")</f>
        <v>LIBERADO TRACKER</v>
      </c>
      <c r="J89" s="20" t="b">
        <v>1</v>
      </c>
      <c r="K89" s="20" t="b">
        <v>0</v>
      </c>
      <c r="L89" s="20" t="b">
        <v>0</v>
      </c>
      <c r="M89" s="18" t="str">
        <f>IF(Tabela24[[#This Row],[Planta QR code]]=TRUE,"LIBERADO PARA OBRA","PENDENTE")</f>
        <v>PENDENTE</v>
      </c>
    </row>
    <row r="90" spans="1:13" x14ac:dyDescent="0.25">
      <c r="A90" s="18" t="s">
        <v>13</v>
      </c>
      <c r="B90" s="18" t="s">
        <v>18</v>
      </c>
      <c r="C90" s="18" t="s">
        <v>15</v>
      </c>
      <c r="D90" s="19" t="s">
        <v>71</v>
      </c>
      <c r="E90" s="18">
        <f t="shared" si="1"/>
        <v>89</v>
      </c>
      <c r="F90" s="20" t="b">
        <v>1</v>
      </c>
      <c r="G90" s="20" t="b">
        <v>1</v>
      </c>
      <c r="H90" s="20" t="b">
        <v>1</v>
      </c>
      <c r="I90" s="18" t="str">
        <f>IF(Tabela24[[#This Row],[Federado]]=TRUE,"LIBERADO TRACKER","PENDENTE")</f>
        <v>LIBERADO TRACKER</v>
      </c>
      <c r="J90" s="20" t="b">
        <v>1</v>
      </c>
      <c r="K90" s="20" t="b">
        <v>0</v>
      </c>
      <c r="L90" s="20" t="b">
        <v>0</v>
      </c>
      <c r="M90" s="18" t="str">
        <f>IF(Tabela24[[#This Row],[Planta QR code]]=TRUE,"LIBERADO PARA OBRA","PENDENTE")</f>
        <v>PENDENTE</v>
      </c>
    </row>
    <row r="91" spans="1:13" x14ac:dyDescent="0.25">
      <c r="A91" s="18" t="s">
        <v>13</v>
      </c>
      <c r="B91" s="18" t="s">
        <v>18</v>
      </c>
      <c r="C91" s="18" t="s">
        <v>15</v>
      </c>
      <c r="D91" s="19" t="s">
        <v>68</v>
      </c>
      <c r="E91" s="18">
        <f t="shared" si="1"/>
        <v>90</v>
      </c>
      <c r="F91" s="20" t="b">
        <v>1</v>
      </c>
      <c r="G91" s="20" t="b">
        <v>1</v>
      </c>
      <c r="H91" s="20" t="b">
        <v>1</v>
      </c>
      <c r="I91" s="18" t="str">
        <f>IF(Tabela24[[#This Row],[Federado]]=TRUE,"LIBERADO TRACKER","PENDENTE")</f>
        <v>LIBERADO TRACKER</v>
      </c>
      <c r="J91" s="20" t="b">
        <v>1</v>
      </c>
      <c r="K91" s="20" t="b">
        <v>0</v>
      </c>
      <c r="L91" s="20" t="b">
        <v>0</v>
      </c>
      <c r="M91" s="18" t="str">
        <f>IF(Tabela24[[#This Row],[Planta QR code]]=TRUE,"LIBERADO PARA OBRA","PENDENTE")</f>
        <v>PENDENTE</v>
      </c>
    </row>
    <row r="92" spans="1:13" x14ac:dyDescent="0.25">
      <c r="A92" s="18" t="s">
        <v>13</v>
      </c>
      <c r="B92" s="18" t="s">
        <v>18</v>
      </c>
      <c r="C92" s="18" t="s">
        <v>15</v>
      </c>
      <c r="D92" s="23" t="s">
        <v>58</v>
      </c>
      <c r="E92" s="18">
        <f t="shared" si="1"/>
        <v>91</v>
      </c>
      <c r="F92" s="20" t="b">
        <v>1</v>
      </c>
      <c r="G92" s="20" t="b">
        <v>1</v>
      </c>
      <c r="H92" s="20" t="b">
        <v>1</v>
      </c>
      <c r="I92" s="18" t="str">
        <f>IF(Tabela24[[#This Row],[Federado]]=TRUE,"LIBERADO TRACKER","PENDENTE")</f>
        <v>LIBERADO TRACKER</v>
      </c>
      <c r="J92" s="20" t="b">
        <v>1</v>
      </c>
      <c r="K92" s="20" t="b">
        <v>0</v>
      </c>
      <c r="L92" s="20" t="b">
        <v>0</v>
      </c>
      <c r="M92" s="18" t="str">
        <f>IF(Tabela24[[#This Row],[Planta QR code]]=TRUE,"LIBERADO PARA OBRA","PENDENTE")</f>
        <v>PENDENTE</v>
      </c>
    </row>
    <row r="93" spans="1:13" x14ac:dyDescent="0.25">
      <c r="A93" s="18" t="s">
        <v>13</v>
      </c>
      <c r="B93" s="18" t="s">
        <v>18</v>
      </c>
      <c r="C93" s="18" t="s">
        <v>15</v>
      </c>
      <c r="D93" s="23" t="s">
        <v>60</v>
      </c>
      <c r="E93" s="18">
        <f t="shared" si="1"/>
        <v>92</v>
      </c>
      <c r="F93" s="20" t="b">
        <v>1</v>
      </c>
      <c r="G93" s="20" t="b">
        <v>1</v>
      </c>
      <c r="H93" s="20" t="b">
        <v>1</v>
      </c>
      <c r="I93" s="18" t="str">
        <f>IF(Tabela24[[#This Row],[Federado]]=TRUE,"LIBERADO TRACKER","PENDENTE")</f>
        <v>LIBERADO TRACKER</v>
      </c>
      <c r="J93" s="20" t="b">
        <v>1</v>
      </c>
      <c r="K93" s="20" t="b">
        <v>0</v>
      </c>
      <c r="L93" s="20" t="b">
        <v>0</v>
      </c>
      <c r="M93" s="18" t="str">
        <f>IF(Tabela24[[#This Row],[Planta QR code]]=TRUE,"LIBERADO PARA OBRA","PENDENTE")</f>
        <v>PENDENTE</v>
      </c>
    </row>
    <row r="94" spans="1:13" x14ac:dyDescent="0.25">
      <c r="A94" s="18" t="s">
        <v>13</v>
      </c>
      <c r="B94" s="18" t="s">
        <v>18</v>
      </c>
      <c r="C94" s="18" t="s">
        <v>15</v>
      </c>
      <c r="D94" s="19" t="s">
        <v>67</v>
      </c>
      <c r="E94" s="18">
        <f t="shared" si="1"/>
        <v>93</v>
      </c>
      <c r="F94" s="20" t="b">
        <v>1</v>
      </c>
      <c r="G94" s="20" t="b">
        <v>1</v>
      </c>
      <c r="H94" s="20" t="b">
        <v>1</v>
      </c>
      <c r="I94" s="18" t="str">
        <f>IF(Tabela24[[#This Row],[Federado]]=TRUE,"LIBERADO TRACKER","PENDENTE")</f>
        <v>LIBERADO TRACKER</v>
      </c>
      <c r="J94" s="20" t="b">
        <v>1</v>
      </c>
      <c r="K94" s="20" t="b">
        <v>0</v>
      </c>
      <c r="L94" s="20" t="b">
        <v>0</v>
      </c>
      <c r="M94" s="18" t="str">
        <f>IF(Tabela24[[#This Row],[Planta QR code]]=TRUE,"LIBERADO PARA OBRA","PENDENTE")</f>
        <v>PENDENTE</v>
      </c>
    </row>
    <row r="95" spans="1:13" x14ac:dyDescent="0.25">
      <c r="A95" s="18" t="s">
        <v>13</v>
      </c>
      <c r="B95" s="18" t="s">
        <v>18</v>
      </c>
      <c r="C95" s="18" t="s">
        <v>15</v>
      </c>
      <c r="D95" s="23" t="s">
        <v>61</v>
      </c>
      <c r="E95" s="18">
        <f t="shared" si="1"/>
        <v>94</v>
      </c>
      <c r="F95" s="20" t="b">
        <v>1</v>
      </c>
      <c r="G95" s="20" t="b">
        <v>1</v>
      </c>
      <c r="H95" s="20" t="b">
        <v>1</v>
      </c>
      <c r="I95" s="18" t="str">
        <f>IF(Tabela24[[#This Row],[Federado]]=TRUE,"LIBERADO TRACKER","PENDENTE")</f>
        <v>LIBERADO TRACKER</v>
      </c>
      <c r="J95" s="20" t="b">
        <v>1</v>
      </c>
      <c r="K95" s="20" t="b">
        <v>0</v>
      </c>
      <c r="L95" s="20" t="b">
        <v>0</v>
      </c>
      <c r="M95" s="18" t="str">
        <f>IF(Tabela24[[#This Row],[Planta QR code]]=TRUE,"LIBERADO PARA OBRA","PENDENTE")</f>
        <v>PENDENTE</v>
      </c>
    </row>
    <row r="96" spans="1:13" x14ac:dyDescent="0.25">
      <c r="A96" s="18" t="s">
        <v>13</v>
      </c>
      <c r="B96" s="18" t="s">
        <v>18</v>
      </c>
      <c r="C96" s="18" t="s">
        <v>15</v>
      </c>
      <c r="D96" s="19" t="s">
        <v>72</v>
      </c>
      <c r="E96" s="18">
        <f t="shared" si="1"/>
        <v>95</v>
      </c>
      <c r="F96" s="20" t="b">
        <v>1</v>
      </c>
      <c r="G96" s="20" t="b">
        <v>1</v>
      </c>
      <c r="H96" s="20" t="b">
        <v>1</v>
      </c>
      <c r="I96" s="18" t="str">
        <f>IF(Tabela24[[#This Row],[Federado]]=TRUE,"LIBERADO TRACKER","PENDENTE")</f>
        <v>LIBERADO TRACKER</v>
      </c>
      <c r="J96" s="20" t="b">
        <v>1</v>
      </c>
      <c r="K96" s="20" t="b">
        <v>0</v>
      </c>
      <c r="L96" s="20" t="b">
        <v>0</v>
      </c>
      <c r="M96" s="18" t="str">
        <f>IF(Tabela24[[#This Row],[Planta QR code]]=TRUE,"LIBERADO PARA OBRA","PENDENTE")</f>
        <v>PENDENTE</v>
      </c>
    </row>
    <row r="97" spans="1:13" x14ac:dyDescent="0.25">
      <c r="A97" s="18" t="s">
        <v>13</v>
      </c>
      <c r="B97" s="18" t="s">
        <v>18</v>
      </c>
      <c r="C97" s="18" t="s">
        <v>15</v>
      </c>
      <c r="D97" s="19" t="s">
        <v>70</v>
      </c>
      <c r="E97" s="18">
        <f t="shared" si="1"/>
        <v>96</v>
      </c>
      <c r="F97" s="20" t="b">
        <v>1</v>
      </c>
      <c r="G97" s="20" t="b">
        <v>1</v>
      </c>
      <c r="H97" s="20" t="b">
        <v>1</v>
      </c>
      <c r="I97" s="18" t="str">
        <f>IF(Tabela24[[#This Row],[Federado]]=TRUE,"LIBERADO TRACKER","PENDENTE")</f>
        <v>LIBERADO TRACKER</v>
      </c>
      <c r="J97" s="20" t="b">
        <v>1</v>
      </c>
      <c r="K97" s="20" t="b">
        <v>0</v>
      </c>
      <c r="L97" s="20" t="b">
        <v>0</v>
      </c>
      <c r="M97" s="18" t="str">
        <f>IF(Tabela24[[#This Row],[Planta QR code]]=TRUE,"LIBERADO PARA OBRA","PENDENTE")</f>
        <v>PENDENTE</v>
      </c>
    </row>
    <row r="98" spans="1:13" x14ac:dyDescent="0.25">
      <c r="A98" s="18" t="s">
        <v>13</v>
      </c>
      <c r="B98" s="18" t="s">
        <v>18</v>
      </c>
      <c r="C98" s="18" t="s">
        <v>15</v>
      </c>
      <c r="D98" s="19" t="s">
        <v>73</v>
      </c>
      <c r="E98" s="18">
        <f t="shared" si="1"/>
        <v>97</v>
      </c>
      <c r="F98" s="20" t="b">
        <v>1</v>
      </c>
      <c r="G98" s="20" t="b">
        <v>1</v>
      </c>
      <c r="H98" s="20" t="b">
        <v>1</v>
      </c>
      <c r="I98" s="18" t="str">
        <f>IF(Tabela24[[#This Row],[Federado]]=TRUE,"LIBERADO TRACKER","PENDENTE")</f>
        <v>LIBERADO TRACKER</v>
      </c>
      <c r="J98" s="20" t="b">
        <v>1</v>
      </c>
      <c r="K98" s="20" t="b">
        <v>0</v>
      </c>
      <c r="L98" s="20" t="b">
        <v>0</v>
      </c>
      <c r="M98" s="18" t="str">
        <f>IF(Tabela24[[#This Row],[Planta QR code]]=TRUE,"LIBERADO PARA OBRA","PENDENTE")</f>
        <v>PENDENTE</v>
      </c>
    </row>
    <row r="99" spans="1:13" x14ac:dyDescent="0.25">
      <c r="A99" s="18" t="s">
        <v>13</v>
      </c>
      <c r="B99" s="18" t="s">
        <v>18</v>
      </c>
      <c r="C99" s="18" t="s">
        <v>15</v>
      </c>
      <c r="D99" s="19" t="s">
        <v>69</v>
      </c>
      <c r="E99" s="18">
        <f t="shared" si="1"/>
        <v>98</v>
      </c>
      <c r="F99" s="20" t="b">
        <v>1</v>
      </c>
      <c r="G99" s="20" t="b">
        <v>1</v>
      </c>
      <c r="H99" s="20" t="b">
        <v>1</v>
      </c>
      <c r="I99" s="18" t="str">
        <f>IF(Tabela24[[#This Row],[Federado]]=TRUE,"LIBERADO TRACKER","PENDENTE")</f>
        <v>LIBERADO TRACKER</v>
      </c>
      <c r="J99" s="20" t="b">
        <v>1</v>
      </c>
      <c r="K99" s="20" t="b">
        <v>0</v>
      </c>
      <c r="L99" s="20" t="b">
        <v>0</v>
      </c>
      <c r="M99" s="18" t="str">
        <f>IF(Tabela24[[#This Row],[Planta QR code]]=TRUE,"LIBERADO PARA OBRA","PENDENTE")</f>
        <v>PENDENTE</v>
      </c>
    </row>
    <row r="100" spans="1:13" x14ac:dyDescent="0.25">
      <c r="A100" s="18" t="s">
        <v>13</v>
      </c>
      <c r="B100" s="18" t="s">
        <v>18</v>
      </c>
      <c r="C100" s="18" t="s">
        <v>15</v>
      </c>
      <c r="D100" s="19" t="s">
        <v>63</v>
      </c>
      <c r="E100" s="18">
        <f t="shared" si="1"/>
        <v>99</v>
      </c>
      <c r="F100" s="20" t="b">
        <v>1</v>
      </c>
      <c r="G100" s="20" t="b">
        <v>1</v>
      </c>
      <c r="H100" s="20" t="b">
        <v>1</v>
      </c>
      <c r="I100" s="18" t="str">
        <f>IF(Tabela24[[#This Row],[Federado]]=TRUE,"LIBERADO TRACKER","PENDENTE")</f>
        <v>LIBERADO TRACKER</v>
      </c>
      <c r="J100" s="20" t="b">
        <v>1</v>
      </c>
      <c r="K100" s="20" t="b">
        <v>0</v>
      </c>
      <c r="L100" s="20" t="b">
        <v>0</v>
      </c>
      <c r="M100" s="18" t="str">
        <f>IF(Tabela24[[#This Row],[Planta QR code]]=TRUE,"LIBERADO PARA OBRA","PENDENTE")</f>
        <v>PENDENTE</v>
      </c>
    </row>
    <row r="101" spans="1:13" x14ac:dyDescent="0.25">
      <c r="A101" s="18" t="s">
        <v>13</v>
      </c>
      <c r="B101" s="18" t="s">
        <v>18</v>
      </c>
      <c r="C101" s="18" t="s">
        <v>15</v>
      </c>
      <c r="D101" s="23" t="s">
        <v>52</v>
      </c>
      <c r="E101" s="18">
        <f t="shared" si="1"/>
        <v>100</v>
      </c>
      <c r="F101" s="20" t="b">
        <v>1</v>
      </c>
      <c r="G101" s="20" t="b">
        <v>1</v>
      </c>
      <c r="H101" s="20" t="b">
        <v>1</v>
      </c>
      <c r="I101" s="18" t="str">
        <f>IF(Tabela24[[#This Row],[Federado]]=TRUE,"LIBERADO TRACKER","PENDENTE")</f>
        <v>LIBERADO TRACKER</v>
      </c>
      <c r="J101" s="20" t="b">
        <v>1</v>
      </c>
      <c r="K101" s="20" t="b">
        <v>0</v>
      </c>
      <c r="L101" s="20" t="b">
        <v>0</v>
      </c>
      <c r="M101" s="18" t="str">
        <f>IF(Tabela24[[#This Row],[Planta QR code]]=TRUE,"LIBERADO PARA OBRA","PENDENTE")</f>
        <v>PENDENTE</v>
      </c>
    </row>
    <row r="102" spans="1:13" x14ac:dyDescent="0.25">
      <c r="A102" s="18" t="s">
        <v>13</v>
      </c>
      <c r="B102" s="18" t="s">
        <v>18</v>
      </c>
      <c r="C102" s="18" t="s">
        <v>15</v>
      </c>
      <c r="D102" s="23" t="s">
        <v>62</v>
      </c>
      <c r="E102" s="18">
        <f t="shared" si="1"/>
        <v>101</v>
      </c>
      <c r="F102" s="20" t="b">
        <v>1</v>
      </c>
      <c r="G102" s="20" t="b">
        <v>1</v>
      </c>
      <c r="H102" s="20" t="b">
        <v>1</v>
      </c>
      <c r="I102" s="18" t="str">
        <f>IF(Tabela24[[#This Row],[Federado]]=TRUE,"LIBERADO TRACKER","PENDENTE")</f>
        <v>LIBERADO TRACKER</v>
      </c>
      <c r="J102" s="20" t="b">
        <v>1</v>
      </c>
      <c r="K102" s="20" t="b">
        <v>0</v>
      </c>
      <c r="L102" s="20" t="b">
        <v>0</v>
      </c>
      <c r="M102" s="18" t="str">
        <f>IF(Tabela24[[#This Row],[Planta QR code]]=TRUE,"LIBERADO PARA OBRA","PENDENTE")</f>
        <v>PENDENTE</v>
      </c>
    </row>
    <row r="103" spans="1:13" x14ac:dyDescent="0.25">
      <c r="A103" s="18" t="s">
        <v>13</v>
      </c>
      <c r="B103" s="18" t="s">
        <v>18</v>
      </c>
      <c r="C103" s="18" t="s">
        <v>15</v>
      </c>
      <c r="D103" s="23" t="s">
        <v>48</v>
      </c>
      <c r="E103" s="18">
        <f t="shared" si="1"/>
        <v>102</v>
      </c>
      <c r="F103" s="20" t="b">
        <v>1</v>
      </c>
      <c r="G103" s="20" t="b">
        <v>1</v>
      </c>
      <c r="H103" s="20" t="b">
        <v>1</v>
      </c>
      <c r="I103" s="18" t="str">
        <f>IF(Tabela24[[#This Row],[Federado]]=TRUE,"LIBERADO TRACKER","PENDENTE")</f>
        <v>LIBERADO TRACKER</v>
      </c>
      <c r="J103" s="20" t="b">
        <v>1</v>
      </c>
      <c r="K103" s="20" t="b">
        <v>0</v>
      </c>
      <c r="L103" s="20" t="b">
        <v>0</v>
      </c>
      <c r="M103" s="18" t="str">
        <f>IF(Tabela24[[#This Row],[Planta QR code]]=TRUE,"LIBERADO PARA OBRA","PENDENTE")</f>
        <v>PENDENTE</v>
      </c>
    </row>
    <row r="104" spans="1:13" x14ac:dyDescent="0.25">
      <c r="A104" s="18" t="s">
        <v>13</v>
      </c>
      <c r="B104" s="18" t="s">
        <v>18</v>
      </c>
      <c r="C104" s="18" t="s">
        <v>15</v>
      </c>
      <c r="D104" s="19" t="s">
        <v>47</v>
      </c>
      <c r="E104" s="18">
        <f t="shared" si="1"/>
        <v>103</v>
      </c>
      <c r="F104" s="20" t="b">
        <v>1</v>
      </c>
      <c r="G104" s="20" t="b">
        <v>1</v>
      </c>
      <c r="H104" s="20" t="b">
        <v>1</v>
      </c>
      <c r="I104" s="18" t="str">
        <f>IF(Tabela24[[#This Row],[Federado]]=TRUE,"LIBERADO TRACKER","PENDENTE")</f>
        <v>LIBERADO TRACKER</v>
      </c>
      <c r="J104" s="20" t="b">
        <v>1</v>
      </c>
      <c r="K104" s="20" t="b">
        <v>0</v>
      </c>
      <c r="L104" s="20" t="b">
        <v>0</v>
      </c>
      <c r="M104" s="18" t="str">
        <f>IF(Tabela24[[#This Row],[Planta QR code]]=TRUE,"LIBERADO PARA OBRA","PENDENTE")</f>
        <v>PENDENTE</v>
      </c>
    </row>
    <row r="105" spans="1:13" x14ac:dyDescent="0.25">
      <c r="A105" s="18" t="s">
        <v>13</v>
      </c>
      <c r="B105" s="18" t="s">
        <v>18</v>
      </c>
      <c r="C105" s="18" t="s">
        <v>15</v>
      </c>
      <c r="D105" s="19" t="s">
        <v>55</v>
      </c>
      <c r="E105" s="18">
        <f t="shared" si="1"/>
        <v>104</v>
      </c>
      <c r="F105" s="20" t="b">
        <v>1</v>
      </c>
      <c r="G105" s="20" t="b">
        <v>1</v>
      </c>
      <c r="H105" s="20" t="b">
        <v>1</v>
      </c>
      <c r="I105" s="18" t="str">
        <f>IF(Tabela24[[#This Row],[Federado]]=TRUE,"LIBERADO TRACKER","PENDENTE")</f>
        <v>LIBERADO TRACKER</v>
      </c>
      <c r="J105" s="20" t="b">
        <v>1</v>
      </c>
      <c r="K105" s="20" t="b">
        <v>0</v>
      </c>
      <c r="L105" s="20" t="b">
        <v>0</v>
      </c>
      <c r="M105" s="18" t="str">
        <f>IF(Tabela24[[#This Row],[Planta QR code]]=TRUE,"LIBERADO PARA OBRA","PENDENTE")</f>
        <v>PENDENTE</v>
      </c>
    </row>
    <row r="106" spans="1:13" x14ac:dyDescent="0.25">
      <c r="A106" s="18" t="s">
        <v>13</v>
      </c>
      <c r="B106" s="18" t="s">
        <v>18</v>
      </c>
      <c r="C106" s="18" t="s">
        <v>15</v>
      </c>
      <c r="D106" s="19" t="s">
        <v>32</v>
      </c>
      <c r="E106" s="18">
        <f t="shared" si="1"/>
        <v>105</v>
      </c>
      <c r="F106" s="20" t="b">
        <v>1</v>
      </c>
      <c r="G106" s="20" t="b">
        <v>1</v>
      </c>
      <c r="H106" s="20" t="b">
        <v>1</v>
      </c>
      <c r="I106" s="18" t="str">
        <f>IF(Tabela24[[#This Row],[Federado]]=TRUE,"LIBERADO TRACKER","PENDENTE")</f>
        <v>LIBERADO TRACKER</v>
      </c>
      <c r="J106" s="20" t="b">
        <v>1</v>
      </c>
      <c r="K106" s="20" t="b">
        <v>0</v>
      </c>
      <c r="L106" s="20" t="b">
        <v>0</v>
      </c>
      <c r="M106" s="18" t="str">
        <f>IF(Tabela24[[#This Row],[Planta QR code]]=TRUE,"LIBERADO PARA OBRA","PENDENTE")</f>
        <v>PENDENTE</v>
      </c>
    </row>
    <row r="107" spans="1:13" x14ac:dyDescent="0.25">
      <c r="A107" s="18" t="s">
        <v>13</v>
      </c>
      <c r="B107" s="18" t="s">
        <v>18</v>
      </c>
      <c r="C107" s="18" t="s">
        <v>15</v>
      </c>
      <c r="D107" s="19" t="s">
        <v>337</v>
      </c>
      <c r="E107" s="18">
        <f t="shared" si="1"/>
        <v>106</v>
      </c>
      <c r="F107" s="20" t="b">
        <v>1</v>
      </c>
      <c r="G107" s="20" t="b">
        <v>1</v>
      </c>
      <c r="H107" s="20" t="b">
        <v>1</v>
      </c>
      <c r="I107" s="18" t="str">
        <f>IF(Tabela24[[#This Row],[Federado]]=TRUE,"LIBERADO TRACKER","PENDENTE")</f>
        <v>LIBERADO TRACKER</v>
      </c>
      <c r="J107" s="20" t="b">
        <v>1</v>
      </c>
      <c r="K107" s="20" t="b">
        <v>0</v>
      </c>
      <c r="L107" s="20" t="b">
        <v>0</v>
      </c>
      <c r="M107" s="18" t="str">
        <f>IF(Tabela24[[#This Row],[Planta QR code]]=TRUE,"LIBERADO PARA OBRA","PENDENTE")</f>
        <v>PENDENTE</v>
      </c>
    </row>
    <row r="108" spans="1:13" x14ac:dyDescent="0.25">
      <c r="A108" s="18" t="s">
        <v>13</v>
      </c>
      <c r="B108" s="18" t="s">
        <v>18</v>
      </c>
      <c r="C108" s="18" t="s">
        <v>15</v>
      </c>
      <c r="D108" s="19" t="s">
        <v>50</v>
      </c>
      <c r="E108" s="18">
        <f t="shared" si="1"/>
        <v>107</v>
      </c>
      <c r="F108" s="20" t="b">
        <v>1</v>
      </c>
      <c r="G108" s="20" t="b">
        <v>1</v>
      </c>
      <c r="H108" s="20" t="b">
        <v>1</v>
      </c>
      <c r="I108" s="18" t="str">
        <f>IF(Tabela24[[#This Row],[Federado]]=TRUE,"LIBERADO TRACKER","PENDENTE")</f>
        <v>LIBERADO TRACKER</v>
      </c>
      <c r="J108" s="20" t="b">
        <v>1</v>
      </c>
      <c r="K108" s="20" t="b">
        <v>0</v>
      </c>
      <c r="L108" s="20" t="b">
        <v>0</v>
      </c>
      <c r="M108" s="18" t="str">
        <f>IF(Tabela24[[#This Row],[Planta QR code]]=TRUE,"LIBERADO PARA OBRA","PENDENTE")</f>
        <v>PENDENTE</v>
      </c>
    </row>
    <row r="109" spans="1:13" x14ac:dyDescent="0.25">
      <c r="A109" s="18" t="s">
        <v>13</v>
      </c>
      <c r="B109" s="18" t="s">
        <v>18</v>
      </c>
      <c r="C109" s="18" t="s">
        <v>15</v>
      </c>
      <c r="D109" s="19" t="s">
        <v>34</v>
      </c>
      <c r="E109" s="18">
        <f t="shared" si="1"/>
        <v>108</v>
      </c>
      <c r="F109" s="20" t="b">
        <v>1</v>
      </c>
      <c r="G109" s="20" t="b">
        <v>1</v>
      </c>
      <c r="H109" s="20" t="b">
        <v>1</v>
      </c>
      <c r="I109" s="18" t="str">
        <f>IF(Tabela24[[#This Row],[Federado]]=TRUE,"LIBERADO TRACKER","PENDENTE")</f>
        <v>LIBERADO TRACKER</v>
      </c>
      <c r="J109" s="20" t="b">
        <v>1</v>
      </c>
      <c r="K109" s="20" t="b">
        <v>0</v>
      </c>
      <c r="L109" s="20" t="b">
        <v>0</v>
      </c>
      <c r="M109" s="18" t="str">
        <f>IF(Tabela24[[#This Row],[Planta QR code]]=TRUE,"LIBERADO PARA OBRA","PENDENTE")</f>
        <v>PENDENTE</v>
      </c>
    </row>
    <row r="110" spans="1:13" x14ac:dyDescent="0.25">
      <c r="A110" s="18" t="s">
        <v>13</v>
      </c>
      <c r="B110" s="18" t="s">
        <v>18</v>
      </c>
      <c r="C110" s="18" t="s">
        <v>15</v>
      </c>
      <c r="D110" s="19" t="s">
        <v>75</v>
      </c>
      <c r="E110" s="18">
        <f t="shared" si="1"/>
        <v>109</v>
      </c>
      <c r="F110" s="20" t="b">
        <v>1</v>
      </c>
      <c r="G110" s="20" t="b">
        <v>1</v>
      </c>
      <c r="H110" s="20" t="b">
        <v>1</v>
      </c>
      <c r="I110" s="18" t="str">
        <f>IF(Tabela24[[#This Row],[Federado]]=TRUE,"LIBERADO TRACKER","PENDENTE")</f>
        <v>LIBERADO TRACKER</v>
      </c>
      <c r="J110" s="20" t="b">
        <v>1</v>
      </c>
      <c r="K110" s="20" t="b">
        <v>0</v>
      </c>
      <c r="L110" s="20" t="b">
        <v>0</v>
      </c>
      <c r="M110" s="18" t="str">
        <f>IF(Tabela24[[#This Row],[Planta QR code]]=TRUE,"LIBERADO PARA OBRA","PENDENTE")</f>
        <v>PENDENTE</v>
      </c>
    </row>
    <row r="111" spans="1:13" x14ac:dyDescent="0.25">
      <c r="A111" s="18" t="s">
        <v>13</v>
      </c>
      <c r="B111" s="18" t="s">
        <v>18</v>
      </c>
      <c r="C111" s="18" t="s">
        <v>15</v>
      </c>
      <c r="D111" s="23" t="s">
        <v>49</v>
      </c>
      <c r="E111" s="18">
        <f t="shared" si="1"/>
        <v>110</v>
      </c>
      <c r="F111" s="20" t="b">
        <v>1</v>
      </c>
      <c r="G111" s="20" t="b">
        <v>1</v>
      </c>
      <c r="H111" s="20" t="b">
        <v>1</v>
      </c>
      <c r="I111" s="18" t="str">
        <f>IF(Tabela24[[#This Row],[Federado]]=TRUE,"LIBERADO TRACKER","PENDENTE")</f>
        <v>LIBERADO TRACKER</v>
      </c>
      <c r="J111" s="20" t="b">
        <v>1</v>
      </c>
      <c r="K111" s="20" t="b">
        <v>0</v>
      </c>
      <c r="L111" s="20" t="b">
        <v>0</v>
      </c>
      <c r="M111" s="18" t="str">
        <f>IF(Tabela24[[#This Row],[Planta QR code]]=TRUE,"LIBERADO PARA OBRA","PENDENTE")</f>
        <v>PENDENTE</v>
      </c>
    </row>
    <row r="112" spans="1:13" x14ac:dyDescent="0.25">
      <c r="A112" s="18" t="s">
        <v>13</v>
      </c>
      <c r="B112" s="18" t="s">
        <v>18</v>
      </c>
      <c r="C112" s="18" t="s">
        <v>15</v>
      </c>
      <c r="D112" s="19" t="s">
        <v>76</v>
      </c>
      <c r="E112" s="18">
        <f t="shared" si="1"/>
        <v>111</v>
      </c>
      <c r="F112" s="20" t="b">
        <v>1</v>
      </c>
      <c r="G112" s="20" t="b">
        <v>1</v>
      </c>
      <c r="H112" s="20" t="b">
        <v>1</v>
      </c>
      <c r="I112" s="18" t="str">
        <f>IF(Tabela24[[#This Row],[Federado]]=TRUE,"LIBERADO TRACKER","PENDENTE")</f>
        <v>LIBERADO TRACKER</v>
      </c>
      <c r="J112" s="20" t="b">
        <v>1</v>
      </c>
      <c r="K112" s="20" t="b">
        <v>0</v>
      </c>
      <c r="L112" s="20" t="b">
        <v>0</v>
      </c>
      <c r="M112" s="18" t="str">
        <f>IF(Tabela24[[#This Row],[Planta QR code]]=TRUE,"LIBERADO PARA OBRA","PENDENTE")</f>
        <v>PENDENTE</v>
      </c>
    </row>
    <row r="113" spans="1:13" x14ac:dyDescent="0.25">
      <c r="A113" s="18" t="s">
        <v>13</v>
      </c>
      <c r="B113" s="18" t="s">
        <v>18</v>
      </c>
      <c r="C113" s="18" t="s">
        <v>15</v>
      </c>
      <c r="D113" s="19" t="s">
        <v>92</v>
      </c>
      <c r="E113" s="18">
        <f t="shared" si="1"/>
        <v>112</v>
      </c>
      <c r="F113" s="20" t="b">
        <v>1</v>
      </c>
      <c r="G113" s="20" t="b">
        <v>1</v>
      </c>
      <c r="H113" s="20" t="b">
        <v>1</v>
      </c>
      <c r="I113" s="18" t="str">
        <f>IF(Tabela24[[#This Row],[Federado]]=TRUE,"LIBERADO TRACKER","PENDENTE")</f>
        <v>LIBERADO TRACKER</v>
      </c>
      <c r="J113" s="20" t="b">
        <v>1</v>
      </c>
      <c r="K113" s="20" t="b">
        <v>0</v>
      </c>
      <c r="L113" s="20" t="b">
        <v>0</v>
      </c>
      <c r="M113" s="18" t="str">
        <f>IF(Tabela24[[#This Row],[Planta QR code]]=TRUE,"LIBERADO PARA OBRA","PENDENTE")</f>
        <v>PENDENTE</v>
      </c>
    </row>
    <row r="114" spans="1:13" x14ac:dyDescent="0.25">
      <c r="A114" s="18" t="s">
        <v>13</v>
      </c>
      <c r="B114" s="18" t="s">
        <v>18</v>
      </c>
      <c r="C114" s="18" t="s">
        <v>79</v>
      </c>
      <c r="D114" s="19" t="s">
        <v>77</v>
      </c>
      <c r="E114" s="18">
        <f t="shared" si="1"/>
        <v>113</v>
      </c>
      <c r="F114" s="20" t="b">
        <v>1</v>
      </c>
      <c r="G114" s="20" t="b">
        <v>1</v>
      </c>
      <c r="H114" s="20" t="b">
        <v>1</v>
      </c>
      <c r="I114" s="18" t="str">
        <f>IF(Tabela24[[#This Row],[Federado]]=TRUE,"LIBERADO TRACKER","PENDENTE")</f>
        <v>LIBERADO TRACKER</v>
      </c>
      <c r="J114" s="20" t="b">
        <v>0</v>
      </c>
      <c r="K114" s="20" t="b">
        <v>0</v>
      </c>
      <c r="L114" s="20" t="b">
        <v>0</v>
      </c>
      <c r="M114" s="18" t="str">
        <f>IF(Tabela24[[#This Row],[Planta QR code]]=TRUE,"LIBERADO PARA OBRA","PENDENTE")</f>
        <v>PENDENTE</v>
      </c>
    </row>
    <row r="115" spans="1:13" x14ac:dyDescent="0.25">
      <c r="A115" s="18" t="s">
        <v>13</v>
      </c>
      <c r="B115" s="18" t="s">
        <v>18</v>
      </c>
      <c r="C115" s="18" t="s">
        <v>79</v>
      </c>
      <c r="D115" s="23" t="s">
        <v>78</v>
      </c>
      <c r="E115" s="18">
        <f t="shared" si="1"/>
        <v>114</v>
      </c>
      <c r="F115" s="20" t="b">
        <v>1</v>
      </c>
      <c r="G115" s="20" t="b">
        <v>1</v>
      </c>
      <c r="H115" s="20" t="b">
        <v>1</v>
      </c>
      <c r="I115" s="18" t="str">
        <f>IF(Tabela24[[#This Row],[Federado]]=TRUE,"LIBERADO TRACKER","PENDENTE")</f>
        <v>LIBERADO TRACKER</v>
      </c>
      <c r="J115" s="20" t="b">
        <v>1</v>
      </c>
      <c r="K115" s="20" t="b">
        <v>0</v>
      </c>
      <c r="L115" s="20" t="b">
        <v>0</v>
      </c>
      <c r="M115" s="18" t="str">
        <f>IF(Tabela24[[#This Row],[Planta QR code]]=TRUE,"LIBERADO PARA OBRA","PENDENTE")</f>
        <v>PENDENTE</v>
      </c>
    </row>
    <row r="116" spans="1:13" x14ac:dyDescent="0.25">
      <c r="A116" s="18" t="s">
        <v>13</v>
      </c>
      <c r="B116" s="18" t="s">
        <v>18</v>
      </c>
      <c r="C116" s="18" t="s">
        <v>79</v>
      </c>
      <c r="D116" s="19" t="s">
        <v>80</v>
      </c>
      <c r="E116" s="18">
        <f t="shared" si="1"/>
        <v>115</v>
      </c>
      <c r="F116" s="20" t="b">
        <v>1</v>
      </c>
      <c r="G116" s="20" t="b">
        <v>1</v>
      </c>
      <c r="H116" s="20" t="b">
        <v>1</v>
      </c>
      <c r="I116" s="18" t="str">
        <f>IF(Tabela24[[#This Row],[Federado]]=TRUE,"LIBERADO TRACKER","PENDENTE")</f>
        <v>LIBERADO TRACKER</v>
      </c>
      <c r="J116" s="20" t="b">
        <v>1</v>
      </c>
      <c r="K116" s="20" t="b">
        <v>0</v>
      </c>
      <c r="L116" s="20" t="b">
        <v>0</v>
      </c>
      <c r="M116" s="18" t="str">
        <f>IF(Tabela24[[#This Row],[Planta QR code]]=TRUE,"LIBERADO PARA OBRA","PENDENTE")</f>
        <v>PENDENTE</v>
      </c>
    </row>
    <row r="117" spans="1:13" x14ac:dyDescent="0.25">
      <c r="A117" s="18" t="s">
        <v>13</v>
      </c>
      <c r="B117" s="18" t="s">
        <v>18</v>
      </c>
      <c r="C117" s="18" t="s">
        <v>79</v>
      </c>
      <c r="D117" s="19" t="s">
        <v>81</v>
      </c>
      <c r="E117" s="18">
        <f t="shared" si="1"/>
        <v>116</v>
      </c>
      <c r="F117" s="20" t="b">
        <v>1</v>
      </c>
      <c r="G117" s="20" t="b">
        <v>1</v>
      </c>
      <c r="H117" s="20" t="b">
        <v>1</v>
      </c>
      <c r="I117" s="18" t="str">
        <f>IF(Tabela24[[#This Row],[Federado]]=TRUE,"LIBERADO TRACKER","PENDENTE")</f>
        <v>LIBERADO TRACKER</v>
      </c>
      <c r="J117" s="20" t="b">
        <v>1</v>
      </c>
      <c r="K117" s="20" t="b">
        <v>0</v>
      </c>
      <c r="L117" s="20" t="b">
        <v>0</v>
      </c>
      <c r="M117" s="18" t="str">
        <f>IF(Tabela24[[#This Row],[Planta QR code]]=TRUE,"LIBERADO PARA OBRA","PENDENTE")</f>
        <v>PENDENTE</v>
      </c>
    </row>
    <row r="118" spans="1:13" x14ac:dyDescent="0.25">
      <c r="A118" s="18" t="s">
        <v>13</v>
      </c>
      <c r="B118" s="18" t="s">
        <v>18</v>
      </c>
      <c r="C118" s="18" t="s">
        <v>79</v>
      </c>
      <c r="D118" s="19" t="s">
        <v>82</v>
      </c>
      <c r="E118" s="18">
        <f t="shared" si="1"/>
        <v>117</v>
      </c>
      <c r="F118" s="20" t="b">
        <v>1</v>
      </c>
      <c r="G118" s="20" t="b">
        <v>1</v>
      </c>
      <c r="H118" s="20" t="b">
        <v>1</v>
      </c>
      <c r="I118" s="18" t="str">
        <f>IF(Tabela24[[#This Row],[Federado]]=TRUE,"LIBERADO TRACKER","PENDENTE")</f>
        <v>LIBERADO TRACKER</v>
      </c>
      <c r="J118" s="20" t="b">
        <v>1</v>
      </c>
      <c r="K118" s="20" t="b">
        <v>0</v>
      </c>
      <c r="L118" s="20" t="b">
        <v>0</v>
      </c>
      <c r="M118" s="18" t="str">
        <f>IF(Tabela24[[#This Row],[Planta QR code]]=TRUE,"LIBERADO PARA OBRA","PENDENTE")</f>
        <v>PENDENTE</v>
      </c>
    </row>
    <row r="119" spans="1:13" x14ac:dyDescent="0.25">
      <c r="A119" s="18" t="s">
        <v>13</v>
      </c>
      <c r="B119" s="18" t="s">
        <v>18</v>
      </c>
      <c r="C119" s="18" t="s">
        <v>79</v>
      </c>
      <c r="D119" s="19" t="s">
        <v>83</v>
      </c>
      <c r="E119" s="18">
        <f t="shared" si="1"/>
        <v>118</v>
      </c>
      <c r="F119" s="20" t="b">
        <v>1</v>
      </c>
      <c r="G119" s="20" t="b">
        <v>1</v>
      </c>
      <c r="H119" s="20" t="b">
        <v>1</v>
      </c>
      <c r="I119" s="18" t="str">
        <f>IF(Tabela24[[#This Row],[Federado]]=TRUE,"LIBERADO TRACKER","PENDENTE")</f>
        <v>LIBERADO TRACKER</v>
      </c>
      <c r="J119" s="20" t="b">
        <v>1</v>
      </c>
      <c r="K119" s="20" t="b">
        <v>0</v>
      </c>
      <c r="L119" s="20" t="b">
        <v>0</v>
      </c>
      <c r="M119" s="18" t="str">
        <f>IF(Tabela24[[#This Row],[Planta QR code]]=TRUE,"LIBERADO PARA OBRA","PENDENTE")</f>
        <v>PENDENTE</v>
      </c>
    </row>
    <row r="120" spans="1:13" x14ac:dyDescent="0.25">
      <c r="A120" s="18" t="s">
        <v>13</v>
      </c>
      <c r="B120" s="18" t="s">
        <v>18</v>
      </c>
      <c r="C120" s="18" t="s">
        <v>79</v>
      </c>
      <c r="D120" s="19" t="s">
        <v>84</v>
      </c>
      <c r="E120" s="18">
        <f t="shared" si="1"/>
        <v>119</v>
      </c>
      <c r="F120" s="20" t="b">
        <v>1</v>
      </c>
      <c r="G120" s="20" t="b">
        <v>1</v>
      </c>
      <c r="H120" s="20" t="b">
        <v>1</v>
      </c>
      <c r="I120" s="18" t="str">
        <f>IF(Tabela24[[#This Row],[Federado]]=TRUE,"LIBERADO TRACKER","PENDENTE")</f>
        <v>LIBERADO TRACKER</v>
      </c>
      <c r="J120" s="20" t="b">
        <v>1</v>
      </c>
      <c r="K120" s="20" t="b">
        <v>0</v>
      </c>
      <c r="L120" s="20" t="b">
        <v>0</v>
      </c>
      <c r="M120" s="18" t="str">
        <f>IF(Tabela24[[#This Row],[Planta QR code]]=TRUE,"LIBERADO PARA OBRA","PENDENTE")</f>
        <v>PENDENTE</v>
      </c>
    </row>
    <row r="121" spans="1:13" x14ac:dyDescent="0.25">
      <c r="A121" s="18" t="s">
        <v>13</v>
      </c>
      <c r="B121" s="18" t="s">
        <v>18</v>
      </c>
      <c r="C121" s="18" t="s">
        <v>85</v>
      </c>
      <c r="D121" s="19" t="s">
        <v>89</v>
      </c>
      <c r="E121" s="18">
        <f t="shared" si="1"/>
        <v>120</v>
      </c>
      <c r="F121" s="20" t="b">
        <v>1</v>
      </c>
      <c r="G121" s="20" t="b">
        <v>1</v>
      </c>
      <c r="H121" s="20" t="b">
        <v>1</v>
      </c>
      <c r="I121" s="18" t="str">
        <f>IF(Tabela24[[#This Row],[Federado]]=TRUE,"LIBERADO TRACKER","PENDENTE")</f>
        <v>LIBERADO TRACKER</v>
      </c>
      <c r="J121" s="20" t="b">
        <v>1</v>
      </c>
      <c r="K121" s="20" t="b">
        <v>0</v>
      </c>
      <c r="L121" s="20" t="b">
        <v>0</v>
      </c>
      <c r="M121" s="18" t="str">
        <f>IF(Tabela24[[#This Row],[Planta QR code]]=TRUE,"LIBERADO PARA OBRA","PENDENTE")</f>
        <v>PENDENTE</v>
      </c>
    </row>
    <row r="122" spans="1:13" x14ac:dyDescent="0.25">
      <c r="A122" s="18" t="s">
        <v>13</v>
      </c>
      <c r="B122" s="18" t="s">
        <v>18</v>
      </c>
      <c r="C122" s="18" t="s">
        <v>85</v>
      </c>
      <c r="D122" s="19" t="s">
        <v>90</v>
      </c>
      <c r="E122" s="18">
        <f t="shared" si="1"/>
        <v>121</v>
      </c>
      <c r="F122" s="20" t="b">
        <v>1</v>
      </c>
      <c r="G122" s="20" t="b">
        <v>1</v>
      </c>
      <c r="H122" s="20" t="b">
        <v>1</v>
      </c>
      <c r="I122" s="18" t="str">
        <f>IF(Tabela24[[#This Row],[Federado]]=TRUE,"LIBERADO TRACKER","PENDENTE")</f>
        <v>LIBERADO TRACKER</v>
      </c>
      <c r="J122" s="20" t="b">
        <v>1</v>
      </c>
      <c r="K122" s="20" t="b">
        <v>0</v>
      </c>
      <c r="L122" s="20" t="b">
        <v>0</v>
      </c>
      <c r="M122" s="18" t="str">
        <f>IF(Tabela24[[#This Row],[Planta QR code]]=TRUE,"LIBERADO PARA OBRA","PENDENTE")</f>
        <v>PENDENTE</v>
      </c>
    </row>
    <row r="123" spans="1:13" x14ac:dyDescent="0.25">
      <c r="A123" s="18" t="s">
        <v>13</v>
      </c>
      <c r="B123" s="18" t="s">
        <v>18</v>
      </c>
      <c r="C123" s="18" t="s">
        <v>85</v>
      </c>
      <c r="D123" s="19" t="s">
        <v>87</v>
      </c>
      <c r="E123" s="18">
        <f t="shared" si="1"/>
        <v>122</v>
      </c>
      <c r="F123" s="20" t="b">
        <v>1</v>
      </c>
      <c r="G123" s="20" t="b">
        <v>1</v>
      </c>
      <c r="H123" s="20" t="b">
        <v>1</v>
      </c>
      <c r="I123" s="18" t="str">
        <f>IF(Tabela24[[#This Row],[Federado]]=TRUE,"LIBERADO TRACKER","PENDENTE")</f>
        <v>LIBERADO TRACKER</v>
      </c>
      <c r="J123" s="20" t="b">
        <v>1</v>
      </c>
      <c r="K123" s="20" t="b">
        <v>0</v>
      </c>
      <c r="L123" s="20" t="b">
        <v>0</v>
      </c>
      <c r="M123" s="18" t="str">
        <f>IF(Tabela24[[#This Row],[Planta QR code]]=TRUE,"LIBERADO PARA OBRA","PENDENTE")</f>
        <v>PENDENTE</v>
      </c>
    </row>
    <row r="124" spans="1:13" x14ac:dyDescent="0.25">
      <c r="A124" s="18" t="s">
        <v>13</v>
      </c>
      <c r="B124" s="18" t="s">
        <v>18</v>
      </c>
      <c r="C124" s="18" t="s">
        <v>85</v>
      </c>
      <c r="D124" s="19" t="s">
        <v>86</v>
      </c>
      <c r="E124" s="18">
        <f t="shared" si="1"/>
        <v>123</v>
      </c>
      <c r="F124" s="20" t="b">
        <v>1</v>
      </c>
      <c r="G124" s="20" t="b">
        <v>1</v>
      </c>
      <c r="H124" s="20" t="b">
        <v>1</v>
      </c>
      <c r="I124" s="18" t="str">
        <f>IF(Tabela24[[#This Row],[Federado]]=TRUE,"LIBERADO TRACKER","PENDENTE")</f>
        <v>LIBERADO TRACKER</v>
      </c>
      <c r="J124" s="20" t="b">
        <v>1</v>
      </c>
      <c r="K124" s="20" t="b">
        <v>0</v>
      </c>
      <c r="L124" s="20" t="b">
        <v>0</v>
      </c>
      <c r="M124" s="18" t="str">
        <f>IF(Tabela24[[#This Row],[Planta QR code]]=TRUE,"LIBERADO PARA OBRA","PENDENTE")</f>
        <v>PENDENTE</v>
      </c>
    </row>
    <row r="125" spans="1:13" x14ac:dyDescent="0.25">
      <c r="A125" s="18" t="s">
        <v>13</v>
      </c>
      <c r="B125" s="18" t="s">
        <v>38</v>
      </c>
      <c r="C125" s="18" t="s">
        <v>15</v>
      </c>
      <c r="D125" s="19" t="s">
        <v>39</v>
      </c>
      <c r="E125" s="18">
        <f t="shared" si="1"/>
        <v>124</v>
      </c>
      <c r="F125" s="20" t="b">
        <v>1</v>
      </c>
      <c r="G125" s="20" t="b">
        <v>1</v>
      </c>
      <c r="H125" s="20" t="b">
        <v>1</v>
      </c>
      <c r="I125" s="18" t="str">
        <f>IF(Tabela24[[#This Row],[Federado]]=TRUE,"LIBERADO TRACKER","PENDENTE")</f>
        <v>LIBERADO TRACKER</v>
      </c>
      <c r="J125" s="20" t="b">
        <v>1</v>
      </c>
      <c r="K125" s="20" t="b">
        <v>0</v>
      </c>
      <c r="L125" s="20" t="b">
        <v>0</v>
      </c>
      <c r="M125" s="18" t="str">
        <f>IF(Tabela24[[#This Row],[Planta QR code]]=TRUE,"LIBERADO PARA OBRA","PENDENTE")</f>
        <v>PENDENTE</v>
      </c>
    </row>
    <row r="126" spans="1:13" x14ac:dyDescent="0.25">
      <c r="A126" s="18" t="s">
        <v>13</v>
      </c>
      <c r="B126" s="18" t="s">
        <v>38</v>
      </c>
      <c r="C126" s="18" t="s">
        <v>15</v>
      </c>
      <c r="D126" s="19" t="s">
        <v>93</v>
      </c>
      <c r="E126" s="18">
        <f t="shared" si="1"/>
        <v>125</v>
      </c>
      <c r="F126" s="20" t="b">
        <v>1</v>
      </c>
      <c r="G126" s="20" t="b">
        <v>1</v>
      </c>
      <c r="H126" s="20" t="b">
        <v>1</v>
      </c>
      <c r="I126" s="18" t="str">
        <f>IF(Tabela24[[#This Row],[Federado]]=TRUE,"LIBERADO TRACKER","PENDENTE")</f>
        <v>LIBERADO TRACKER</v>
      </c>
      <c r="J126" s="20" t="b">
        <v>0</v>
      </c>
      <c r="K126" s="20" t="b">
        <v>0</v>
      </c>
      <c r="L126" s="20" t="b">
        <v>0</v>
      </c>
      <c r="M126" s="18" t="str">
        <f>IF(Tabela24[[#This Row],[Planta QR code]]=TRUE,"LIBERADO PARA OBRA","PENDENTE")</f>
        <v>PENDENTE</v>
      </c>
    </row>
    <row r="127" spans="1:13" x14ac:dyDescent="0.25">
      <c r="A127" s="18" t="s">
        <v>13</v>
      </c>
      <c r="B127" s="18" t="s">
        <v>38</v>
      </c>
      <c r="C127" s="18" t="s">
        <v>15</v>
      </c>
      <c r="D127" s="19" t="s">
        <v>94</v>
      </c>
      <c r="E127" s="18">
        <f t="shared" si="1"/>
        <v>126</v>
      </c>
      <c r="F127" s="20" t="b">
        <v>1</v>
      </c>
      <c r="G127" s="20" t="b">
        <v>1</v>
      </c>
      <c r="H127" s="20" t="b">
        <v>1</v>
      </c>
      <c r="I127" s="18" t="str">
        <f>IF(Tabela24[[#This Row],[Federado]]=TRUE,"LIBERADO TRACKER","PENDENTE")</f>
        <v>LIBERADO TRACKER</v>
      </c>
      <c r="J127" s="20" t="b">
        <v>0</v>
      </c>
      <c r="K127" s="20" t="b">
        <v>0</v>
      </c>
      <c r="L127" s="20" t="b">
        <v>0</v>
      </c>
      <c r="M127" s="18" t="str">
        <f>IF(Tabela24[[#This Row],[Planta QR code]]=TRUE,"LIBERADO PARA OBRA","PENDENTE")</f>
        <v>PENDENTE</v>
      </c>
    </row>
    <row r="128" spans="1:13" x14ac:dyDescent="0.25">
      <c r="A128" s="18" t="s">
        <v>13</v>
      </c>
      <c r="B128" s="18" t="s">
        <v>38</v>
      </c>
      <c r="C128" s="18" t="s">
        <v>15</v>
      </c>
      <c r="D128" s="19" t="s">
        <v>95</v>
      </c>
      <c r="E128" s="18">
        <f t="shared" si="1"/>
        <v>127</v>
      </c>
      <c r="F128" s="20" t="b">
        <v>1</v>
      </c>
      <c r="G128" s="20" t="b">
        <v>1</v>
      </c>
      <c r="H128" s="20" t="b">
        <v>1</v>
      </c>
      <c r="I128" s="18" t="str">
        <f>IF(Tabela24[[#This Row],[Federado]]=TRUE,"LIBERADO TRACKER","PENDENTE")</f>
        <v>LIBERADO TRACKER</v>
      </c>
      <c r="J128" s="20" t="b">
        <v>0</v>
      </c>
      <c r="K128" s="20" t="b">
        <v>0</v>
      </c>
      <c r="L128" s="20" t="b">
        <v>0</v>
      </c>
      <c r="M128" s="18" t="str">
        <f>IF(Tabela24[[#This Row],[Planta QR code]]=TRUE,"LIBERADO PARA OBRA","PENDENTE")</f>
        <v>PENDENTE</v>
      </c>
    </row>
    <row r="129" spans="1:13" x14ac:dyDescent="0.25">
      <c r="A129" s="18" t="s">
        <v>13</v>
      </c>
      <c r="B129" s="18" t="s">
        <v>38</v>
      </c>
      <c r="C129" s="18" t="s">
        <v>15</v>
      </c>
      <c r="D129" s="19" t="s">
        <v>96</v>
      </c>
      <c r="E129" s="18">
        <f t="shared" si="1"/>
        <v>128</v>
      </c>
      <c r="F129" s="20" t="b">
        <v>1</v>
      </c>
      <c r="G129" s="20" t="b">
        <v>1</v>
      </c>
      <c r="H129" s="20" t="b">
        <v>1</v>
      </c>
      <c r="I129" s="18" t="str">
        <f>IF(Tabela24[[#This Row],[Federado]]=TRUE,"LIBERADO TRACKER","PENDENTE")</f>
        <v>LIBERADO TRACKER</v>
      </c>
      <c r="J129" s="20" t="b">
        <v>0</v>
      </c>
      <c r="K129" s="20" t="b">
        <v>0</v>
      </c>
      <c r="L129" s="20" t="b">
        <v>0</v>
      </c>
      <c r="M129" s="18" t="str">
        <f>IF(Tabela24[[#This Row],[Planta QR code]]=TRUE,"LIBERADO PARA OBRA","PENDENTE")</f>
        <v>PENDENTE</v>
      </c>
    </row>
    <row r="130" spans="1:13" x14ac:dyDescent="0.25">
      <c r="A130" s="18" t="s">
        <v>13</v>
      </c>
      <c r="B130" s="18" t="s">
        <v>38</v>
      </c>
      <c r="C130" s="18" t="s">
        <v>15</v>
      </c>
      <c r="D130" s="19" t="s">
        <v>97</v>
      </c>
      <c r="E130" s="18">
        <f t="shared" si="1"/>
        <v>129</v>
      </c>
      <c r="F130" s="20" t="b">
        <v>1</v>
      </c>
      <c r="G130" s="20" t="b">
        <v>1</v>
      </c>
      <c r="H130" s="20" t="b">
        <v>1</v>
      </c>
      <c r="I130" s="18" t="str">
        <f>IF(Tabela24[[#This Row],[Federado]]=TRUE,"LIBERADO TRACKER","PENDENTE")</f>
        <v>LIBERADO TRACKER</v>
      </c>
      <c r="J130" s="20" t="b">
        <v>0</v>
      </c>
      <c r="K130" s="20" t="b">
        <v>0</v>
      </c>
      <c r="L130" s="20" t="b">
        <v>0</v>
      </c>
      <c r="M130" s="18" t="str">
        <f>IF(Tabela24[[#This Row],[Planta QR code]]=TRUE,"LIBERADO PARA OBRA","PENDENTE")</f>
        <v>PENDENTE</v>
      </c>
    </row>
    <row r="131" spans="1:13" x14ac:dyDescent="0.25">
      <c r="A131" s="18" t="s">
        <v>13</v>
      </c>
      <c r="B131" s="18" t="s">
        <v>38</v>
      </c>
      <c r="C131" s="18" t="s">
        <v>15</v>
      </c>
      <c r="D131" s="19" t="s">
        <v>98</v>
      </c>
      <c r="E131" s="18">
        <f t="shared" si="1"/>
        <v>130</v>
      </c>
      <c r="F131" s="20" t="b">
        <v>1</v>
      </c>
      <c r="G131" s="20" t="b">
        <v>1</v>
      </c>
      <c r="H131" s="20" t="b">
        <v>1</v>
      </c>
      <c r="I131" s="18" t="str">
        <f>IF(Tabela24[[#This Row],[Federado]]=TRUE,"LIBERADO TRACKER","PENDENTE")</f>
        <v>LIBERADO TRACKER</v>
      </c>
      <c r="J131" s="20" t="b">
        <v>0</v>
      </c>
      <c r="K131" s="20" t="b">
        <v>0</v>
      </c>
      <c r="L131" s="20" t="b">
        <v>0</v>
      </c>
      <c r="M131" s="18" t="str">
        <f>IF(Tabela24[[#This Row],[Planta QR code]]=TRUE,"LIBERADO PARA OBRA","PENDENTE")</f>
        <v>PENDENTE</v>
      </c>
    </row>
    <row r="132" spans="1:13" x14ac:dyDescent="0.25">
      <c r="A132" s="18" t="s">
        <v>13</v>
      </c>
      <c r="B132" s="18" t="s">
        <v>38</v>
      </c>
      <c r="C132" s="18" t="s">
        <v>15</v>
      </c>
      <c r="D132" s="19" t="s">
        <v>99</v>
      </c>
      <c r="E132" s="18">
        <f t="shared" si="1"/>
        <v>131</v>
      </c>
      <c r="F132" s="20" t="b">
        <v>1</v>
      </c>
      <c r="G132" s="20" t="b">
        <v>1</v>
      </c>
      <c r="H132" s="20" t="b">
        <v>1</v>
      </c>
      <c r="I132" s="18" t="str">
        <f>IF(Tabela24[[#This Row],[Federado]]=TRUE,"LIBERADO TRACKER","PENDENTE")</f>
        <v>LIBERADO TRACKER</v>
      </c>
      <c r="J132" s="20" t="b">
        <v>0</v>
      </c>
      <c r="K132" s="20" t="b">
        <v>0</v>
      </c>
      <c r="L132" s="20" t="b">
        <v>0</v>
      </c>
      <c r="M132" s="18" t="str">
        <f>IF(Tabela24[[#This Row],[Planta QR code]]=TRUE,"LIBERADO PARA OBRA","PENDENTE")</f>
        <v>PENDENTE</v>
      </c>
    </row>
    <row r="133" spans="1:13" x14ac:dyDescent="0.25">
      <c r="A133" s="18" t="s">
        <v>13</v>
      </c>
      <c r="B133" s="18" t="s">
        <v>38</v>
      </c>
      <c r="C133" s="18" t="s">
        <v>15</v>
      </c>
      <c r="D133" s="19" t="s">
        <v>100</v>
      </c>
      <c r="E133" s="18">
        <f t="shared" ref="E133:E143" si="2">E132+1</f>
        <v>132</v>
      </c>
      <c r="F133" s="20" t="b">
        <v>1</v>
      </c>
      <c r="G133" s="20" t="b">
        <v>1</v>
      </c>
      <c r="H133" s="20" t="b">
        <v>1</v>
      </c>
      <c r="I133" s="18" t="str">
        <f>IF(Tabela24[[#This Row],[Federado]]=TRUE,"LIBERADO TRACKER","PENDENTE")</f>
        <v>LIBERADO TRACKER</v>
      </c>
      <c r="J133" s="20" t="b">
        <v>0</v>
      </c>
      <c r="K133" s="20" t="b">
        <v>0</v>
      </c>
      <c r="L133" s="20" t="b">
        <v>0</v>
      </c>
      <c r="M133" s="18" t="str">
        <f>IF(Tabela24[[#This Row],[Planta QR code]]=TRUE,"LIBERADO PARA OBRA","PENDENTE")</f>
        <v>PENDENTE</v>
      </c>
    </row>
    <row r="134" spans="1:13" x14ac:dyDescent="0.25">
      <c r="A134" s="18" t="s">
        <v>13</v>
      </c>
      <c r="B134" s="18" t="s">
        <v>38</v>
      </c>
      <c r="C134" s="18" t="s">
        <v>15</v>
      </c>
      <c r="D134" s="19" t="s">
        <v>394</v>
      </c>
      <c r="E134" s="18">
        <f t="shared" si="2"/>
        <v>133</v>
      </c>
      <c r="F134" s="20" t="b">
        <v>1</v>
      </c>
      <c r="G134" s="20" t="b">
        <v>1</v>
      </c>
      <c r="H134" s="20" t="b">
        <v>1</v>
      </c>
      <c r="I134" s="18" t="str">
        <f>IF(Tabela24[[#This Row],[Federado]]=TRUE,"LIBERADO TRACKER","PENDENTE")</f>
        <v>LIBERADO TRACKER</v>
      </c>
      <c r="J134" s="20" t="b">
        <v>0</v>
      </c>
      <c r="K134" s="20" t="b">
        <v>0</v>
      </c>
      <c r="L134" s="20" t="b">
        <v>0</v>
      </c>
      <c r="M134" s="18" t="str">
        <f>IF(Tabela24[[#This Row],[Planta QR code]]=TRUE,"LIBERADO PARA OBRA","PENDENTE")</f>
        <v>PENDENTE</v>
      </c>
    </row>
    <row r="135" spans="1:13" x14ac:dyDescent="0.25">
      <c r="A135" s="18" t="s">
        <v>13</v>
      </c>
      <c r="B135" s="18" t="s">
        <v>38</v>
      </c>
      <c r="C135" s="18" t="s">
        <v>15</v>
      </c>
      <c r="D135" s="19" t="s">
        <v>102</v>
      </c>
      <c r="E135" s="18">
        <f t="shared" si="2"/>
        <v>134</v>
      </c>
      <c r="F135" s="20" t="b">
        <v>1</v>
      </c>
      <c r="G135" s="20" t="b">
        <v>1</v>
      </c>
      <c r="H135" s="20" t="b">
        <v>1</v>
      </c>
      <c r="I135" s="18" t="str">
        <f>IF(Tabela24[[#This Row],[Federado]]=TRUE,"LIBERADO TRACKER","PENDENTE")</f>
        <v>LIBERADO TRACKER</v>
      </c>
      <c r="J135" s="20" t="b">
        <v>0</v>
      </c>
      <c r="K135" s="20" t="b">
        <v>0</v>
      </c>
      <c r="L135" s="20" t="b">
        <v>0</v>
      </c>
      <c r="M135" s="18" t="str">
        <f>IF(Tabela24[[#This Row],[Planta QR code]]=TRUE,"LIBERADO PARA OBRA","PENDENTE")</f>
        <v>PENDENTE</v>
      </c>
    </row>
    <row r="136" spans="1:13" x14ac:dyDescent="0.25">
      <c r="A136" s="18" t="s">
        <v>13</v>
      </c>
      <c r="B136" s="18" t="s">
        <v>38</v>
      </c>
      <c r="C136" s="18" t="s">
        <v>15</v>
      </c>
      <c r="D136" s="19" t="s">
        <v>103</v>
      </c>
      <c r="E136" s="18">
        <f t="shared" si="2"/>
        <v>135</v>
      </c>
      <c r="F136" s="20" t="b">
        <v>1</v>
      </c>
      <c r="G136" s="20" t="b">
        <v>1</v>
      </c>
      <c r="H136" s="20" t="b">
        <v>1</v>
      </c>
      <c r="I136" s="18" t="str">
        <f>IF(Tabela24[[#This Row],[Federado]]=TRUE,"LIBERADO TRACKER","PENDENTE")</f>
        <v>LIBERADO TRACKER</v>
      </c>
      <c r="J136" s="20" t="b">
        <v>0</v>
      </c>
      <c r="K136" s="20" t="b">
        <v>0</v>
      </c>
      <c r="L136" s="20" t="b">
        <v>0</v>
      </c>
      <c r="M136" s="18" t="str">
        <f>IF(Tabela24[[#This Row],[Planta QR code]]=TRUE,"LIBERADO PARA OBRA","PENDENTE")</f>
        <v>PENDENTE</v>
      </c>
    </row>
    <row r="137" spans="1:13" x14ac:dyDescent="0.25">
      <c r="A137" s="18" t="s">
        <v>13</v>
      </c>
      <c r="B137" s="18" t="s">
        <v>38</v>
      </c>
      <c r="C137" s="18" t="s">
        <v>15</v>
      </c>
      <c r="D137" s="19" t="s">
        <v>104</v>
      </c>
      <c r="E137" s="18">
        <f t="shared" si="2"/>
        <v>136</v>
      </c>
      <c r="F137" s="20" t="b">
        <v>1</v>
      </c>
      <c r="G137" s="20" t="b">
        <v>1</v>
      </c>
      <c r="H137" s="20" t="b">
        <v>1</v>
      </c>
      <c r="I137" s="18" t="str">
        <f>IF(Tabela24[[#This Row],[Federado]]=TRUE,"LIBERADO TRACKER","PENDENTE")</f>
        <v>LIBERADO TRACKER</v>
      </c>
      <c r="J137" s="20" t="b">
        <v>0</v>
      </c>
      <c r="K137" s="20" t="b">
        <v>0</v>
      </c>
      <c r="L137" s="20" t="b">
        <v>0</v>
      </c>
      <c r="M137" s="18" t="str">
        <f>IF(Tabela24[[#This Row],[Planta QR code]]=TRUE,"LIBERADO PARA OBRA","PENDENTE")</f>
        <v>PENDENTE</v>
      </c>
    </row>
    <row r="138" spans="1:13" x14ac:dyDescent="0.25">
      <c r="A138" s="18" t="s">
        <v>13</v>
      </c>
      <c r="B138" s="18" t="s">
        <v>38</v>
      </c>
      <c r="C138" s="18" t="s">
        <v>15</v>
      </c>
      <c r="D138" s="19" t="s">
        <v>105</v>
      </c>
      <c r="E138" s="18">
        <f t="shared" si="2"/>
        <v>137</v>
      </c>
      <c r="F138" s="20" t="b">
        <v>1</v>
      </c>
      <c r="G138" s="20" t="b">
        <v>1</v>
      </c>
      <c r="H138" s="20" t="b">
        <v>1</v>
      </c>
      <c r="I138" s="18" t="str">
        <f>IF(Tabela24[[#This Row],[Federado]]=TRUE,"LIBERADO TRACKER","PENDENTE")</f>
        <v>LIBERADO TRACKER</v>
      </c>
      <c r="J138" s="20" t="b">
        <v>0</v>
      </c>
      <c r="K138" s="20" t="b">
        <v>0</v>
      </c>
      <c r="L138" s="20" t="b">
        <v>0</v>
      </c>
      <c r="M138" s="18" t="str">
        <f>IF(Tabela24[[#This Row],[Planta QR code]]=TRUE,"LIBERADO PARA OBRA","PENDENTE")</f>
        <v>PENDENTE</v>
      </c>
    </row>
    <row r="139" spans="1:13" x14ac:dyDescent="0.25">
      <c r="A139" s="18" t="s">
        <v>13</v>
      </c>
      <c r="B139" s="18" t="s">
        <v>38</v>
      </c>
      <c r="C139" s="18" t="s">
        <v>15</v>
      </c>
      <c r="D139" s="19" t="s">
        <v>106</v>
      </c>
      <c r="E139" s="18">
        <f t="shared" si="2"/>
        <v>138</v>
      </c>
      <c r="F139" s="20" t="b">
        <v>1</v>
      </c>
      <c r="G139" s="20" t="b">
        <v>1</v>
      </c>
      <c r="H139" s="20" t="b">
        <v>1</v>
      </c>
      <c r="I139" s="18" t="str">
        <f>IF(Tabela24[[#This Row],[Federado]]=TRUE,"LIBERADO TRACKER","PENDENTE")</f>
        <v>LIBERADO TRACKER</v>
      </c>
      <c r="J139" s="20" t="b">
        <v>0</v>
      </c>
      <c r="K139" s="20" t="b">
        <v>0</v>
      </c>
      <c r="L139" s="20" t="b">
        <v>0</v>
      </c>
      <c r="M139" s="18" t="str">
        <f>IF(Tabela24[[#This Row],[Planta QR code]]=TRUE,"LIBERADO PARA OBRA","PENDENTE")</f>
        <v>PENDENTE</v>
      </c>
    </row>
    <row r="140" spans="1:13" x14ac:dyDescent="0.25">
      <c r="A140" s="18" t="s">
        <v>13</v>
      </c>
      <c r="B140" s="18" t="s">
        <v>38</v>
      </c>
      <c r="C140" s="18" t="s">
        <v>15</v>
      </c>
      <c r="D140" s="19" t="s">
        <v>76</v>
      </c>
      <c r="E140" s="18">
        <f t="shared" si="2"/>
        <v>139</v>
      </c>
      <c r="F140" s="20" t="b">
        <v>1</v>
      </c>
      <c r="G140" s="20" t="b">
        <v>1</v>
      </c>
      <c r="H140" s="20" t="b">
        <v>1</v>
      </c>
      <c r="I140" s="18" t="str">
        <f>IF(Tabela24[[#This Row],[Federado]]=TRUE,"LIBERADO TRACKER","PENDENTE")</f>
        <v>LIBERADO TRACKER</v>
      </c>
      <c r="J140" s="20" t="b">
        <v>0</v>
      </c>
      <c r="K140" s="20" t="b">
        <v>0</v>
      </c>
      <c r="L140" s="20" t="b">
        <v>0</v>
      </c>
      <c r="M140" s="18" t="str">
        <f>IF(Tabela24[[#This Row],[Planta QR code]]=TRUE,"LIBERADO PARA OBRA","PENDENTE")</f>
        <v>PENDENTE</v>
      </c>
    </row>
    <row r="141" spans="1:13" x14ac:dyDescent="0.25">
      <c r="A141" s="18" t="s">
        <v>13</v>
      </c>
      <c r="B141" s="18" t="s">
        <v>38</v>
      </c>
      <c r="C141" s="18" t="s">
        <v>79</v>
      </c>
      <c r="D141" s="19" t="s">
        <v>338</v>
      </c>
      <c r="E141" s="18">
        <f t="shared" si="2"/>
        <v>140</v>
      </c>
      <c r="F141" s="20" t="b">
        <v>1</v>
      </c>
      <c r="G141" s="20" t="b">
        <v>1</v>
      </c>
      <c r="H141" s="20" t="b">
        <v>1</v>
      </c>
      <c r="I141" s="18" t="str">
        <f>IF(Tabela24[[#This Row],[Federado]]=TRUE,"LIBERADO TRACKER","PENDENTE")</f>
        <v>LIBERADO TRACKER</v>
      </c>
      <c r="J141" s="20" t="b">
        <v>0</v>
      </c>
      <c r="K141" s="20" t="b">
        <v>0</v>
      </c>
      <c r="L141" s="20" t="b">
        <v>0</v>
      </c>
      <c r="M141" s="18" t="str">
        <f>IF(Tabela24[[#This Row],[Planta QR code]]=TRUE,"LIBERADO PARA OBRA","PENDENTE")</f>
        <v>PENDENTE</v>
      </c>
    </row>
    <row r="142" spans="1:13" x14ac:dyDescent="0.25">
      <c r="A142" s="18" t="s">
        <v>13</v>
      </c>
      <c r="B142" s="18" t="s">
        <v>38</v>
      </c>
      <c r="C142" s="18" t="s">
        <v>79</v>
      </c>
      <c r="D142" s="19" t="s">
        <v>339</v>
      </c>
      <c r="E142" s="18">
        <f t="shared" si="2"/>
        <v>141</v>
      </c>
      <c r="F142" s="20" t="b">
        <v>1</v>
      </c>
      <c r="G142" s="20" t="b">
        <v>1</v>
      </c>
      <c r="H142" s="20" t="b">
        <v>1</v>
      </c>
      <c r="I142" s="18" t="str">
        <f>IF(Tabela24[[#This Row],[Federado]]=TRUE,"LIBERADO TRACKER","PENDENTE")</f>
        <v>LIBERADO TRACKER</v>
      </c>
      <c r="J142" s="20" t="b">
        <v>0</v>
      </c>
      <c r="K142" s="20" t="b">
        <v>0</v>
      </c>
      <c r="L142" s="20" t="b">
        <v>0</v>
      </c>
      <c r="M142" s="18" t="str">
        <f>IF(Tabela24[[#This Row],[Planta QR code]]=TRUE,"LIBERADO PARA OBRA","PENDENTE")</f>
        <v>PENDENTE</v>
      </c>
    </row>
    <row r="143" spans="1:13" x14ac:dyDescent="0.25">
      <c r="A143" s="18" t="s">
        <v>13</v>
      </c>
      <c r="B143" s="18" t="s">
        <v>38</v>
      </c>
      <c r="C143" s="18" t="s">
        <v>85</v>
      </c>
      <c r="D143" s="19" t="s">
        <v>340</v>
      </c>
      <c r="E143" s="18">
        <f t="shared" si="2"/>
        <v>142</v>
      </c>
      <c r="F143" s="20" t="b">
        <v>1</v>
      </c>
      <c r="G143" s="20" t="b">
        <v>1</v>
      </c>
      <c r="H143" s="20" t="b">
        <v>1</v>
      </c>
      <c r="I143" s="18" t="str">
        <f>IF(Tabela24[[#This Row],[Federado]]=TRUE,"LIBERADO TRACKER","PENDENTE")</f>
        <v>LIBERADO TRACKER</v>
      </c>
      <c r="J143" s="20" t="b">
        <v>0</v>
      </c>
      <c r="K143" s="20" t="b">
        <v>0</v>
      </c>
      <c r="L143" s="20" t="b">
        <v>0</v>
      </c>
      <c r="M143" s="18" t="str">
        <f>IF(Tabela24[[#This Row],[Planta QR code]]=TRUE,"LIBERADO PARA OBRA","PENDENTE")</f>
        <v>PENDENTE</v>
      </c>
    </row>
    <row r="144" spans="1:13" x14ac:dyDescent="0.25">
      <c r="A144" s="18" t="s">
        <v>162</v>
      </c>
      <c r="B144" s="18" t="s">
        <v>107</v>
      </c>
      <c r="C144" s="18" t="s">
        <v>163</v>
      </c>
      <c r="D144" s="19" t="s">
        <v>164</v>
      </c>
      <c r="E144" s="18">
        <v>201</v>
      </c>
      <c r="F144" s="20" t="b">
        <v>1</v>
      </c>
      <c r="G144" s="20" t="b">
        <v>1</v>
      </c>
      <c r="H144" s="20" t="b">
        <v>1</v>
      </c>
      <c r="I144" s="18" t="str">
        <f>IF(Tabela24[[#This Row],[Federado]]=TRUE,"LIBERADO TRACKER","PENDENTE")</f>
        <v>LIBERADO TRACKER</v>
      </c>
      <c r="J144" s="20" t="b">
        <v>0</v>
      </c>
      <c r="K144" s="20" t="b">
        <v>0</v>
      </c>
      <c r="L144" s="20" t="b">
        <v>0</v>
      </c>
      <c r="M144" s="18" t="str">
        <f>IF(Tabela24[[#This Row],[Planta QR code]]=TRUE,"LIBERADO PARA OBRA","PENDENTE")</f>
        <v>PENDENTE</v>
      </c>
    </row>
    <row r="145" spans="1:13" x14ac:dyDescent="0.25">
      <c r="A145" s="18" t="s">
        <v>162</v>
      </c>
      <c r="B145" s="18" t="s">
        <v>107</v>
      </c>
      <c r="C145" s="18" t="s">
        <v>163</v>
      </c>
      <c r="D145" s="19" t="s">
        <v>131</v>
      </c>
      <c r="E145" s="18">
        <f t="shared" ref="E145:E169" si="3">E144+1</f>
        <v>202</v>
      </c>
      <c r="F145" s="20" t="b">
        <v>1</v>
      </c>
      <c r="G145" s="20" t="b">
        <v>1</v>
      </c>
      <c r="H145" s="20" t="b">
        <v>1</v>
      </c>
      <c r="I145" s="18" t="str">
        <f>IF(Tabela24[[#This Row],[Federado]]=TRUE,"LIBERADO TRACKER","PENDENTE")</f>
        <v>LIBERADO TRACKER</v>
      </c>
      <c r="J145" s="20" t="b">
        <v>0</v>
      </c>
      <c r="K145" s="20" t="b">
        <v>0</v>
      </c>
      <c r="L145" s="20" t="b">
        <v>0</v>
      </c>
      <c r="M145" s="18" t="str">
        <f>IF(Tabela24[[#This Row],[Planta QR code]]=TRUE,"LIBERADO PARA OBRA","PENDENTE")</f>
        <v>PENDENTE</v>
      </c>
    </row>
    <row r="146" spans="1:13" x14ac:dyDescent="0.25">
      <c r="A146" s="18" t="s">
        <v>162</v>
      </c>
      <c r="B146" s="18" t="s">
        <v>107</v>
      </c>
      <c r="C146" s="18" t="s">
        <v>163</v>
      </c>
      <c r="D146" s="19" t="s">
        <v>130</v>
      </c>
      <c r="E146" s="18">
        <f t="shared" si="3"/>
        <v>203</v>
      </c>
      <c r="F146" s="20" t="b">
        <v>1</v>
      </c>
      <c r="G146" s="20" t="b">
        <v>1</v>
      </c>
      <c r="H146" s="20" t="b">
        <v>1</v>
      </c>
      <c r="I146" s="18" t="str">
        <f>IF(Tabela24[[#This Row],[Federado]]=TRUE,"LIBERADO TRACKER","PENDENTE")</f>
        <v>LIBERADO TRACKER</v>
      </c>
      <c r="J146" s="20" t="b">
        <v>0</v>
      </c>
      <c r="K146" s="20" t="b">
        <v>0</v>
      </c>
      <c r="L146" s="20" t="b">
        <v>0</v>
      </c>
      <c r="M146" s="18" t="str">
        <f>IF(Tabela24[[#This Row],[Planta QR code]]=TRUE,"LIBERADO PARA OBRA","PENDENTE")</f>
        <v>PENDENTE</v>
      </c>
    </row>
    <row r="147" spans="1:13" x14ac:dyDescent="0.25">
      <c r="A147" s="18" t="s">
        <v>162</v>
      </c>
      <c r="B147" s="18" t="s">
        <v>107</v>
      </c>
      <c r="C147" s="18" t="s">
        <v>163</v>
      </c>
      <c r="D147" s="19" t="s">
        <v>165</v>
      </c>
      <c r="E147" s="18">
        <f t="shared" si="3"/>
        <v>204</v>
      </c>
      <c r="F147" s="20" t="b">
        <v>1</v>
      </c>
      <c r="G147" s="20" t="b">
        <v>1</v>
      </c>
      <c r="H147" s="20" t="b">
        <v>1</v>
      </c>
      <c r="I147" s="18" t="str">
        <f>IF(Tabela24[[#This Row],[Federado]]=TRUE,"LIBERADO TRACKER","PENDENTE")</f>
        <v>LIBERADO TRACKER</v>
      </c>
      <c r="J147" s="20" t="b">
        <v>1</v>
      </c>
      <c r="K147" s="20" t="b">
        <v>0</v>
      </c>
      <c r="L147" s="20" t="b">
        <v>0</v>
      </c>
      <c r="M147" s="18" t="str">
        <f>IF(Tabela24[[#This Row],[Planta QR code]]=TRUE,"LIBERADO PARA OBRA","PENDENTE")</f>
        <v>PENDENTE</v>
      </c>
    </row>
    <row r="148" spans="1:13" x14ac:dyDescent="0.25">
      <c r="A148" s="18" t="s">
        <v>162</v>
      </c>
      <c r="B148" s="18" t="s">
        <v>107</v>
      </c>
      <c r="C148" s="18" t="s">
        <v>163</v>
      </c>
      <c r="D148" s="19" t="s">
        <v>166</v>
      </c>
      <c r="E148" s="18">
        <f t="shared" si="3"/>
        <v>205</v>
      </c>
      <c r="F148" s="20" t="b">
        <v>1</v>
      </c>
      <c r="G148" s="20" t="b">
        <v>1</v>
      </c>
      <c r="H148" s="20" t="b">
        <v>1</v>
      </c>
      <c r="I148" s="18" t="str">
        <f>IF(Tabela24[[#This Row],[Federado]]=TRUE,"LIBERADO TRACKER","PENDENTE")</f>
        <v>LIBERADO TRACKER</v>
      </c>
      <c r="J148" s="20" t="b">
        <v>1</v>
      </c>
      <c r="K148" s="20" t="b">
        <v>0</v>
      </c>
      <c r="L148" s="20" t="b">
        <v>0</v>
      </c>
      <c r="M148" s="18" t="str">
        <f>IF(Tabela24[[#This Row],[Planta QR code]]=TRUE,"LIBERADO PARA OBRA","PENDENTE")</f>
        <v>PENDENTE</v>
      </c>
    </row>
    <row r="149" spans="1:13" x14ac:dyDescent="0.25">
      <c r="A149" s="18" t="s">
        <v>162</v>
      </c>
      <c r="B149" s="18" t="s">
        <v>107</v>
      </c>
      <c r="C149" s="18" t="s">
        <v>163</v>
      </c>
      <c r="D149" s="19" t="s">
        <v>167</v>
      </c>
      <c r="E149" s="18">
        <f t="shared" si="3"/>
        <v>206</v>
      </c>
      <c r="F149" s="20" t="b">
        <v>1</v>
      </c>
      <c r="G149" s="20" t="b">
        <v>1</v>
      </c>
      <c r="H149" s="20" t="b">
        <v>1</v>
      </c>
      <c r="I149" s="18" t="str">
        <f>IF(Tabela24[[#This Row],[Federado]]=TRUE,"LIBERADO TRACKER","PENDENTE")</f>
        <v>LIBERADO TRACKER</v>
      </c>
      <c r="J149" s="20" t="b">
        <v>1</v>
      </c>
      <c r="K149" s="20" t="b">
        <v>0</v>
      </c>
      <c r="L149" s="20" t="b">
        <v>0</v>
      </c>
      <c r="M149" s="18" t="str">
        <f>IF(Tabela24[[#This Row],[Planta QR code]]=TRUE,"LIBERADO PARA OBRA","PENDENTE")</f>
        <v>PENDENTE</v>
      </c>
    </row>
    <row r="150" spans="1:13" x14ac:dyDescent="0.25">
      <c r="A150" s="18" t="s">
        <v>162</v>
      </c>
      <c r="B150" s="18" t="s">
        <v>107</v>
      </c>
      <c r="C150" s="18" t="s">
        <v>163</v>
      </c>
      <c r="D150" s="19" t="s">
        <v>330</v>
      </c>
      <c r="E150" s="18">
        <f t="shared" si="3"/>
        <v>207</v>
      </c>
      <c r="F150" s="20" t="b">
        <v>0</v>
      </c>
      <c r="G150" s="20" t="b">
        <v>0</v>
      </c>
      <c r="H150" s="20" t="b">
        <v>0</v>
      </c>
      <c r="I150" s="18" t="str">
        <f>IF(Tabela24[[#This Row],[Federado]]=TRUE,"LIBERADO TRACKER","PENDENTE")</f>
        <v>PENDENTE</v>
      </c>
      <c r="J150" s="20" t="b">
        <v>0</v>
      </c>
      <c r="K150" s="20" t="b">
        <v>0</v>
      </c>
      <c r="L150" s="20" t="b">
        <v>0</v>
      </c>
      <c r="M150" s="18" t="str">
        <f>IF(Tabela24[[#This Row],[Planta QR code]]=TRUE,"LIBERADO PARA OBRA","PENDENTE")</f>
        <v>PENDENTE</v>
      </c>
    </row>
    <row r="151" spans="1:13" x14ac:dyDescent="0.25">
      <c r="A151" s="18" t="s">
        <v>162</v>
      </c>
      <c r="B151" s="18" t="s">
        <v>107</v>
      </c>
      <c r="C151" s="18" t="s">
        <v>163</v>
      </c>
      <c r="D151" s="19" t="s">
        <v>168</v>
      </c>
      <c r="E151" s="18">
        <f t="shared" si="3"/>
        <v>208</v>
      </c>
      <c r="F151" s="20" t="b">
        <v>1</v>
      </c>
      <c r="G151" s="20" t="b">
        <v>1</v>
      </c>
      <c r="H151" s="20" t="b">
        <v>1</v>
      </c>
      <c r="I151" s="18" t="str">
        <f>IF(Tabela24[[#This Row],[Federado]]=TRUE,"LIBERADO TRACKER","PENDENTE")</f>
        <v>LIBERADO TRACKER</v>
      </c>
      <c r="J151" s="20" t="b">
        <v>0</v>
      </c>
      <c r="K151" s="20" t="b">
        <v>0</v>
      </c>
      <c r="L151" s="20" t="b">
        <v>0</v>
      </c>
      <c r="M151" s="18" t="str">
        <f>IF(Tabela24[[#This Row],[Planta QR code]]=TRUE,"LIBERADO PARA OBRA","PENDENTE")</f>
        <v>PENDENTE</v>
      </c>
    </row>
    <row r="152" spans="1:13" x14ac:dyDescent="0.25">
      <c r="A152" s="18" t="s">
        <v>162</v>
      </c>
      <c r="B152" s="18" t="s">
        <v>107</v>
      </c>
      <c r="C152" s="18" t="s">
        <v>163</v>
      </c>
      <c r="D152" s="19" t="s">
        <v>169</v>
      </c>
      <c r="E152" s="18">
        <f t="shared" si="3"/>
        <v>209</v>
      </c>
      <c r="F152" s="20" t="b">
        <v>1</v>
      </c>
      <c r="G152" s="20" t="b">
        <v>1</v>
      </c>
      <c r="H152" s="20" t="b">
        <v>1</v>
      </c>
      <c r="I152" s="18" t="str">
        <f>IF(Tabela24[[#This Row],[Federado]]=TRUE,"LIBERADO TRACKER","PENDENTE")</f>
        <v>LIBERADO TRACKER</v>
      </c>
      <c r="J152" s="20" t="b">
        <v>0</v>
      </c>
      <c r="K152" s="20" t="b">
        <v>0</v>
      </c>
      <c r="L152" s="20" t="b">
        <v>0</v>
      </c>
      <c r="M152" s="18" t="str">
        <f>IF(Tabela24[[#This Row],[Planta QR code]]=TRUE,"LIBERADO PARA OBRA","PENDENTE")</f>
        <v>PENDENTE</v>
      </c>
    </row>
    <row r="153" spans="1:13" x14ac:dyDescent="0.25">
      <c r="A153" s="18" t="s">
        <v>162</v>
      </c>
      <c r="B153" s="18" t="s">
        <v>107</v>
      </c>
      <c r="C153" s="18" t="s">
        <v>163</v>
      </c>
      <c r="D153" s="19" t="s">
        <v>170</v>
      </c>
      <c r="E153" s="18">
        <f t="shared" si="3"/>
        <v>210</v>
      </c>
      <c r="F153" s="20" t="b">
        <v>1</v>
      </c>
      <c r="G153" s="20" t="b">
        <v>1</v>
      </c>
      <c r="H153" s="20" t="b">
        <v>1</v>
      </c>
      <c r="I153" s="18" t="str">
        <f>IF(Tabela24[[#This Row],[Federado]]=TRUE,"LIBERADO TRACKER","PENDENTE")</f>
        <v>LIBERADO TRACKER</v>
      </c>
      <c r="J153" s="20" t="b">
        <v>0</v>
      </c>
      <c r="K153" s="20" t="b">
        <v>0</v>
      </c>
      <c r="L153" s="20" t="b">
        <v>0</v>
      </c>
      <c r="M153" s="18" t="str">
        <f>IF(Tabela24[[#This Row],[Planta QR code]]=TRUE,"LIBERADO PARA OBRA","PENDENTE")</f>
        <v>PENDENTE</v>
      </c>
    </row>
    <row r="154" spans="1:13" x14ac:dyDescent="0.25">
      <c r="A154" s="18" t="s">
        <v>162</v>
      </c>
      <c r="B154" s="18" t="s">
        <v>107</v>
      </c>
      <c r="C154" s="18" t="s">
        <v>163</v>
      </c>
      <c r="D154" s="19" t="s">
        <v>98</v>
      </c>
      <c r="E154" s="18">
        <f t="shared" si="3"/>
        <v>211</v>
      </c>
      <c r="F154" s="20" t="b">
        <v>1</v>
      </c>
      <c r="G154" s="20" t="b">
        <v>1</v>
      </c>
      <c r="H154" s="20" t="b">
        <v>1</v>
      </c>
      <c r="I154" s="18" t="str">
        <f>IF(Tabela24[[#This Row],[Federado]]=TRUE,"LIBERADO TRACKER","PENDENTE")</f>
        <v>LIBERADO TRACKER</v>
      </c>
      <c r="J154" s="20" t="b">
        <v>0</v>
      </c>
      <c r="K154" s="20" t="b">
        <v>0</v>
      </c>
      <c r="L154" s="20" t="b">
        <v>0</v>
      </c>
      <c r="M154" s="18" t="str">
        <f>IF(Tabela24[[#This Row],[Planta QR code]]=TRUE,"LIBERADO PARA OBRA","PENDENTE")</f>
        <v>PENDENTE</v>
      </c>
    </row>
    <row r="155" spans="1:13" x14ac:dyDescent="0.25">
      <c r="A155" s="18" t="s">
        <v>162</v>
      </c>
      <c r="B155" s="18" t="s">
        <v>107</v>
      </c>
      <c r="C155" s="18" t="s">
        <v>163</v>
      </c>
      <c r="D155" s="19" t="s">
        <v>171</v>
      </c>
      <c r="E155" s="18">
        <f t="shared" si="3"/>
        <v>212</v>
      </c>
      <c r="F155" s="20" t="b">
        <v>1</v>
      </c>
      <c r="G155" s="20" t="b">
        <v>1</v>
      </c>
      <c r="H155" s="20" t="b">
        <v>1</v>
      </c>
      <c r="I155" s="18" t="str">
        <f>IF(Tabela24[[#This Row],[Federado]]=TRUE,"LIBERADO TRACKER","PENDENTE")</f>
        <v>LIBERADO TRACKER</v>
      </c>
      <c r="J155" s="20" t="b">
        <v>0</v>
      </c>
      <c r="K155" s="20" t="b">
        <v>0</v>
      </c>
      <c r="L155" s="20" t="b">
        <v>0</v>
      </c>
      <c r="M155" s="18" t="str">
        <f>IF(Tabela24[[#This Row],[Planta QR code]]=TRUE,"LIBERADO PARA OBRA","PENDENTE")</f>
        <v>PENDENTE</v>
      </c>
    </row>
    <row r="156" spans="1:13" x14ac:dyDescent="0.25">
      <c r="A156" s="18" t="s">
        <v>162</v>
      </c>
      <c r="B156" s="18" t="s">
        <v>107</v>
      </c>
      <c r="C156" s="18" t="s">
        <v>163</v>
      </c>
      <c r="D156" s="19" t="s">
        <v>35</v>
      </c>
      <c r="E156" s="18">
        <f t="shared" si="3"/>
        <v>213</v>
      </c>
      <c r="F156" s="20" t="b">
        <v>1</v>
      </c>
      <c r="G156" s="20" t="b">
        <v>1</v>
      </c>
      <c r="H156" s="20" t="b">
        <v>1</v>
      </c>
      <c r="I156" s="18" t="str">
        <f>IF(Tabela24[[#This Row],[Federado]]=TRUE,"LIBERADO TRACKER","PENDENTE")</f>
        <v>LIBERADO TRACKER</v>
      </c>
      <c r="J156" s="20" t="b">
        <v>0</v>
      </c>
      <c r="K156" s="20" t="b">
        <v>0</v>
      </c>
      <c r="L156" s="20" t="b">
        <v>0</v>
      </c>
      <c r="M156" s="18" t="str">
        <f>IF(Tabela24[[#This Row],[Planta QR code]]=TRUE,"LIBERADO PARA OBRA","PENDENTE")</f>
        <v>PENDENTE</v>
      </c>
    </row>
    <row r="157" spans="1:13" x14ac:dyDescent="0.25">
      <c r="A157" s="18" t="s">
        <v>162</v>
      </c>
      <c r="B157" s="18" t="s">
        <v>107</v>
      </c>
      <c r="C157" s="18" t="s">
        <v>163</v>
      </c>
      <c r="D157" s="19" t="s">
        <v>352</v>
      </c>
      <c r="E157" s="18">
        <f t="shared" si="3"/>
        <v>214</v>
      </c>
      <c r="F157" s="20" t="b">
        <v>1</v>
      </c>
      <c r="G157" s="20" t="b">
        <v>1</v>
      </c>
      <c r="H157" s="20" t="b">
        <v>1</v>
      </c>
      <c r="I157" s="18" t="str">
        <f>IF(Tabela24[[#This Row],[Federado]]=TRUE,"LIBERADO TRACKER","PENDENTE")</f>
        <v>LIBERADO TRACKER</v>
      </c>
      <c r="J157" s="20" t="b">
        <v>0</v>
      </c>
      <c r="K157" s="20" t="b">
        <v>0</v>
      </c>
      <c r="L157" s="20" t="b">
        <v>0</v>
      </c>
      <c r="M157" s="18" t="str">
        <f>IF(Tabela24[[#This Row],[Planta QR code]]=TRUE,"LIBERADO PARA OBRA","PENDENTE")</f>
        <v>PENDENTE</v>
      </c>
    </row>
    <row r="158" spans="1:13" x14ac:dyDescent="0.25">
      <c r="A158" s="18" t="s">
        <v>162</v>
      </c>
      <c r="B158" s="18" t="s">
        <v>14</v>
      </c>
      <c r="C158" s="18" t="s">
        <v>163</v>
      </c>
      <c r="D158" s="19" t="s">
        <v>172</v>
      </c>
      <c r="E158" s="18">
        <f t="shared" si="3"/>
        <v>215</v>
      </c>
      <c r="F158" s="20" t="b">
        <v>1</v>
      </c>
      <c r="G158" s="20" t="b">
        <v>1</v>
      </c>
      <c r="H158" s="20" t="b">
        <v>1</v>
      </c>
      <c r="I158" s="18" t="str">
        <f>IF(Tabela24[[#This Row],[Federado]]=TRUE,"LIBERADO TRACKER","PENDENTE")</f>
        <v>LIBERADO TRACKER</v>
      </c>
      <c r="J158" s="20" t="b">
        <v>0</v>
      </c>
      <c r="K158" s="20" t="b">
        <v>0</v>
      </c>
      <c r="L158" s="20" t="b">
        <v>0</v>
      </c>
      <c r="M158" s="18" t="str">
        <f>IF(Tabela24[[#This Row],[Planta QR code]]=TRUE,"LIBERADO PARA OBRA","PENDENTE")</f>
        <v>PENDENTE</v>
      </c>
    </row>
    <row r="159" spans="1:13" x14ac:dyDescent="0.25">
      <c r="A159" s="18" t="s">
        <v>162</v>
      </c>
      <c r="B159" s="18" t="s">
        <v>14</v>
      </c>
      <c r="C159" s="18" t="s">
        <v>163</v>
      </c>
      <c r="D159" s="19" t="s">
        <v>173</v>
      </c>
      <c r="E159" s="18">
        <f t="shared" si="3"/>
        <v>216</v>
      </c>
      <c r="F159" s="20" t="b">
        <v>1</v>
      </c>
      <c r="G159" s="20" t="b">
        <v>1</v>
      </c>
      <c r="H159" s="20" t="b">
        <v>1</v>
      </c>
      <c r="I159" s="18" t="str">
        <f>IF(Tabela24[[#This Row],[Federado]]=TRUE,"LIBERADO TRACKER","PENDENTE")</f>
        <v>LIBERADO TRACKER</v>
      </c>
      <c r="J159" s="20" t="b">
        <v>0</v>
      </c>
      <c r="K159" s="20" t="b">
        <v>0</v>
      </c>
      <c r="L159" s="20" t="b">
        <v>0</v>
      </c>
      <c r="M159" s="18" t="str">
        <f>IF(Tabela24[[#This Row],[Planta QR code]]=TRUE,"LIBERADO PARA OBRA","PENDENTE")</f>
        <v>PENDENTE</v>
      </c>
    </row>
    <row r="160" spans="1:13" x14ac:dyDescent="0.25">
      <c r="A160" s="18" t="s">
        <v>162</v>
      </c>
      <c r="B160" s="18" t="s">
        <v>14</v>
      </c>
      <c r="C160" s="18" t="s">
        <v>163</v>
      </c>
      <c r="D160" s="19" t="s">
        <v>174</v>
      </c>
      <c r="E160" s="18">
        <f t="shared" si="3"/>
        <v>217</v>
      </c>
      <c r="F160" s="20" t="b">
        <v>1</v>
      </c>
      <c r="G160" s="20" t="b">
        <v>1</v>
      </c>
      <c r="H160" s="20" t="b">
        <v>1</v>
      </c>
      <c r="I160" s="18" t="str">
        <f>IF(Tabela24[[#This Row],[Federado]]=TRUE,"LIBERADO TRACKER","PENDENTE")</f>
        <v>LIBERADO TRACKER</v>
      </c>
      <c r="J160" s="20" t="b">
        <v>0</v>
      </c>
      <c r="K160" s="20" t="b">
        <v>0</v>
      </c>
      <c r="L160" s="20" t="b">
        <v>0</v>
      </c>
      <c r="M160" s="18" t="str">
        <f>IF(Tabela24[[#This Row],[Planta QR code]]=TRUE,"LIBERADO PARA OBRA","PENDENTE")</f>
        <v>PENDENTE</v>
      </c>
    </row>
    <row r="161" spans="1:13" x14ac:dyDescent="0.25">
      <c r="A161" s="18" t="s">
        <v>162</v>
      </c>
      <c r="B161" s="18" t="s">
        <v>14</v>
      </c>
      <c r="C161" s="18" t="s">
        <v>163</v>
      </c>
      <c r="D161" s="19" t="s">
        <v>175</v>
      </c>
      <c r="E161" s="18">
        <f t="shared" si="3"/>
        <v>218</v>
      </c>
      <c r="F161" s="20" t="b">
        <v>1</v>
      </c>
      <c r="G161" s="20" t="b">
        <v>1</v>
      </c>
      <c r="H161" s="20" t="b">
        <v>1</v>
      </c>
      <c r="I161" s="18" t="str">
        <f>IF(Tabela24[[#This Row],[Federado]]=TRUE,"LIBERADO TRACKER","PENDENTE")</f>
        <v>LIBERADO TRACKER</v>
      </c>
      <c r="J161" s="20" t="b">
        <v>0</v>
      </c>
      <c r="K161" s="20" t="b">
        <v>0</v>
      </c>
      <c r="L161" s="20" t="b">
        <v>0</v>
      </c>
      <c r="M161" s="18" t="str">
        <f>IF(Tabela24[[#This Row],[Planta QR code]]=TRUE,"LIBERADO PARA OBRA","PENDENTE")</f>
        <v>PENDENTE</v>
      </c>
    </row>
    <row r="162" spans="1:13" x14ac:dyDescent="0.25">
      <c r="A162" s="18" t="s">
        <v>162</v>
      </c>
      <c r="B162" s="18" t="s">
        <v>14</v>
      </c>
      <c r="C162" s="18" t="s">
        <v>163</v>
      </c>
      <c r="D162" s="19" t="s">
        <v>176</v>
      </c>
      <c r="E162" s="18">
        <f t="shared" si="3"/>
        <v>219</v>
      </c>
      <c r="F162" s="20" t="b">
        <v>1</v>
      </c>
      <c r="G162" s="20" t="b">
        <v>1</v>
      </c>
      <c r="H162" s="20" t="b">
        <v>1</v>
      </c>
      <c r="I162" s="18" t="str">
        <f>IF(Tabela24[[#This Row],[Federado]]=TRUE,"LIBERADO TRACKER","PENDENTE")</f>
        <v>LIBERADO TRACKER</v>
      </c>
      <c r="J162" s="20" t="b">
        <v>0</v>
      </c>
      <c r="K162" s="20" t="b">
        <v>0</v>
      </c>
      <c r="L162" s="20" t="b">
        <v>0</v>
      </c>
      <c r="M162" s="18" t="str">
        <f>IF(Tabela24[[#This Row],[Planta QR code]]=TRUE,"LIBERADO PARA OBRA","PENDENTE")</f>
        <v>PENDENTE</v>
      </c>
    </row>
    <row r="163" spans="1:13" x14ac:dyDescent="0.25">
      <c r="A163" s="18" t="s">
        <v>162</v>
      </c>
      <c r="B163" s="18" t="s">
        <v>14</v>
      </c>
      <c r="C163" s="18" t="s">
        <v>163</v>
      </c>
      <c r="D163" s="19" t="s">
        <v>177</v>
      </c>
      <c r="E163" s="18">
        <f t="shared" si="3"/>
        <v>220</v>
      </c>
      <c r="F163" s="20" t="b">
        <v>1</v>
      </c>
      <c r="G163" s="20" t="b">
        <v>1</v>
      </c>
      <c r="H163" s="20" t="b">
        <v>1</v>
      </c>
      <c r="I163" s="18" t="str">
        <f>IF(Tabela24[[#This Row],[Federado]]=TRUE,"LIBERADO TRACKER","PENDENTE")</f>
        <v>LIBERADO TRACKER</v>
      </c>
      <c r="J163" s="20" t="b">
        <v>0</v>
      </c>
      <c r="K163" s="20" t="b">
        <v>0</v>
      </c>
      <c r="L163" s="20" t="b">
        <v>0</v>
      </c>
      <c r="M163" s="18" t="str">
        <f>IF(Tabela24[[#This Row],[Planta QR code]]=TRUE,"LIBERADO PARA OBRA","PENDENTE")</f>
        <v>PENDENTE</v>
      </c>
    </row>
    <row r="164" spans="1:13" x14ac:dyDescent="0.25">
      <c r="A164" s="18" t="s">
        <v>162</v>
      </c>
      <c r="B164" s="18" t="s">
        <v>14</v>
      </c>
      <c r="C164" s="18" t="s">
        <v>163</v>
      </c>
      <c r="D164" s="19" t="s">
        <v>178</v>
      </c>
      <c r="E164" s="18">
        <f t="shared" si="3"/>
        <v>221</v>
      </c>
      <c r="F164" s="20" t="b">
        <v>1</v>
      </c>
      <c r="G164" s="20" t="b">
        <v>1</v>
      </c>
      <c r="H164" s="20" t="b">
        <v>1</v>
      </c>
      <c r="I164" s="18" t="str">
        <f>IF(Tabela24[[#This Row],[Federado]]=TRUE,"LIBERADO TRACKER","PENDENTE")</f>
        <v>LIBERADO TRACKER</v>
      </c>
      <c r="J164" s="20" t="b">
        <v>0</v>
      </c>
      <c r="K164" s="20" t="b">
        <v>0</v>
      </c>
      <c r="L164" s="20" t="b">
        <v>0</v>
      </c>
      <c r="M164" s="18" t="str">
        <f>IF(Tabela24[[#This Row],[Planta QR code]]=TRUE,"LIBERADO PARA OBRA","PENDENTE")</f>
        <v>PENDENTE</v>
      </c>
    </row>
    <row r="165" spans="1:13" x14ac:dyDescent="0.25">
      <c r="A165" s="18" t="s">
        <v>162</v>
      </c>
      <c r="B165" s="18" t="s">
        <v>18</v>
      </c>
      <c r="C165" s="18" t="s">
        <v>163</v>
      </c>
      <c r="D165" s="19" t="s">
        <v>179</v>
      </c>
      <c r="E165" s="18">
        <f t="shared" si="3"/>
        <v>222</v>
      </c>
      <c r="F165" s="20" t="b">
        <v>0</v>
      </c>
      <c r="G165" s="20" t="b">
        <v>0</v>
      </c>
      <c r="H165" s="20" t="b">
        <v>0</v>
      </c>
      <c r="I165" s="18" t="str">
        <f>IF(Tabela24[[#This Row],[Federado]]=TRUE,"LIBERADO TRACKER","PENDENTE")</f>
        <v>PENDENTE</v>
      </c>
      <c r="J165" s="20" t="b">
        <v>0</v>
      </c>
      <c r="K165" s="20" t="b">
        <v>0</v>
      </c>
      <c r="L165" s="20" t="b">
        <v>0</v>
      </c>
      <c r="M165" s="18" t="str">
        <f>IF(Tabela24[[#This Row],[Planta QR code]]=TRUE,"LIBERADO PARA OBRA","PENDENTE")</f>
        <v>PENDENTE</v>
      </c>
    </row>
    <row r="166" spans="1:13" x14ac:dyDescent="0.25">
      <c r="A166" s="18" t="s">
        <v>162</v>
      </c>
      <c r="B166" s="18" t="s">
        <v>18</v>
      </c>
      <c r="C166" s="18" t="s">
        <v>163</v>
      </c>
      <c r="D166" s="19" t="s">
        <v>180</v>
      </c>
      <c r="E166" s="18">
        <f t="shared" si="3"/>
        <v>223</v>
      </c>
      <c r="F166" s="20" t="b">
        <v>0</v>
      </c>
      <c r="G166" s="20" t="b">
        <v>0</v>
      </c>
      <c r="H166" s="20" t="b">
        <v>0</v>
      </c>
      <c r="I166" s="18" t="str">
        <f>IF(Tabela24[[#This Row],[Federado]]=TRUE,"LIBERADO TRACKER","PENDENTE")</f>
        <v>PENDENTE</v>
      </c>
      <c r="J166" s="20" t="b">
        <v>0</v>
      </c>
      <c r="K166" s="20" t="b">
        <v>0</v>
      </c>
      <c r="L166" s="20" t="b">
        <v>0</v>
      </c>
      <c r="M166" s="18" t="str">
        <f>IF(Tabela24[[#This Row],[Planta QR code]]=TRUE,"LIBERADO PARA OBRA","PENDENTE")</f>
        <v>PENDENTE</v>
      </c>
    </row>
    <row r="167" spans="1:13" x14ac:dyDescent="0.25">
      <c r="A167" s="18" t="s">
        <v>162</v>
      </c>
      <c r="B167" s="18" t="s">
        <v>18</v>
      </c>
      <c r="C167" s="18" t="s">
        <v>163</v>
      </c>
      <c r="D167" s="19" t="s">
        <v>181</v>
      </c>
      <c r="E167" s="18">
        <f t="shared" si="3"/>
        <v>224</v>
      </c>
      <c r="F167" s="20" t="b">
        <v>0</v>
      </c>
      <c r="G167" s="20" t="b">
        <v>0</v>
      </c>
      <c r="H167" s="20" t="b">
        <v>0</v>
      </c>
      <c r="I167" s="18" t="str">
        <f>IF(Tabela24[[#This Row],[Federado]]=TRUE,"LIBERADO TRACKER","PENDENTE")</f>
        <v>PENDENTE</v>
      </c>
      <c r="J167" s="20" t="b">
        <v>0</v>
      </c>
      <c r="K167" s="20" t="b">
        <v>0</v>
      </c>
      <c r="L167" s="20" t="b">
        <v>0</v>
      </c>
      <c r="M167" s="18" t="str">
        <f>IF(Tabela24[[#This Row],[Planta QR code]]=TRUE,"LIBERADO PARA OBRA","PENDENTE")</f>
        <v>PENDENTE</v>
      </c>
    </row>
    <row r="168" spans="1:13" x14ac:dyDescent="0.25">
      <c r="A168" s="18" t="s">
        <v>162</v>
      </c>
      <c r="B168" s="18" t="s">
        <v>18</v>
      </c>
      <c r="C168" s="18" t="s">
        <v>163</v>
      </c>
      <c r="D168" s="19" t="s">
        <v>182</v>
      </c>
      <c r="E168" s="18">
        <f t="shared" si="3"/>
        <v>225</v>
      </c>
      <c r="F168" s="20" t="b">
        <v>0</v>
      </c>
      <c r="G168" s="20" t="b">
        <v>0</v>
      </c>
      <c r="H168" s="20" t="b">
        <v>0</v>
      </c>
      <c r="I168" s="18" t="str">
        <f>IF(Tabela24[[#This Row],[Federado]]=TRUE,"LIBERADO TRACKER","PENDENTE")</f>
        <v>PENDENTE</v>
      </c>
      <c r="J168" s="20" t="b">
        <v>0</v>
      </c>
      <c r="K168" s="20" t="b">
        <v>0</v>
      </c>
      <c r="L168" s="20" t="b">
        <v>0</v>
      </c>
      <c r="M168" s="18" t="str">
        <f>IF(Tabela24[[#This Row],[Planta QR code]]=TRUE,"LIBERADO PARA OBRA","PENDENTE")</f>
        <v>PENDENTE</v>
      </c>
    </row>
    <row r="169" spans="1:13" x14ac:dyDescent="0.25">
      <c r="A169" s="18" t="s">
        <v>162</v>
      </c>
      <c r="B169" s="18" t="s">
        <v>18</v>
      </c>
      <c r="C169" s="18" t="s">
        <v>163</v>
      </c>
      <c r="D169" s="19" t="s">
        <v>178</v>
      </c>
      <c r="E169" s="18">
        <f t="shared" si="3"/>
        <v>226</v>
      </c>
      <c r="F169" s="20" t="b">
        <v>0</v>
      </c>
      <c r="G169" s="20" t="b">
        <v>0</v>
      </c>
      <c r="H169" s="20" t="b">
        <v>0</v>
      </c>
      <c r="I169" s="18" t="str">
        <f>IF(Tabela24[[#This Row],[Federado]]=TRUE,"LIBERADO TRACKER","PENDENTE")</f>
        <v>PENDENTE</v>
      </c>
      <c r="J169" s="20" t="b">
        <v>0</v>
      </c>
      <c r="K169" s="20" t="b">
        <v>0</v>
      </c>
      <c r="L169" s="20" t="b">
        <v>0</v>
      </c>
      <c r="M169" s="18" t="str">
        <f>IF(Tabela24[[#This Row],[Planta QR code]]=TRUE,"LIBERADO PARA OBRA","PENDENTE")</f>
        <v>PENDENTE</v>
      </c>
    </row>
    <row r="170" spans="1:13" x14ac:dyDescent="0.25">
      <c r="A170" s="18" t="s">
        <v>183</v>
      </c>
      <c r="B170" s="18" t="s">
        <v>107</v>
      </c>
      <c r="C170" s="18" t="s">
        <v>163</v>
      </c>
      <c r="D170" s="19" t="s">
        <v>184</v>
      </c>
      <c r="E170" s="18">
        <v>301</v>
      </c>
      <c r="F170" s="20" t="b">
        <v>0</v>
      </c>
      <c r="G170" s="20" t="b">
        <v>1</v>
      </c>
      <c r="H170" s="20" t="b">
        <v>0</v>
      </c>
      <c r="I170" s="18" t="str">
        <f>IF(Tabela24[[#This Row],[Federado]]=TRUE,"LIBERADO TRACKER","PENDENTE")</f>
        <v>PENDENTE</v>
      </c>
      <c r="J170" s="20" t="b">
        <v>0</v>
      </c>
      <c r="K170" s="20" t="b">
        <v>0</v>
      </c>
      <c r="L170" s="20" t="b">
        <v>0</v>
      </c>
      <c r="M170" s="18" t="str">
        <f>IF(Tabela24[[#This Row],[Planta QR code]]=TRUE,"LIBERADO PARA OBRA","PENDENTE")</f>
        <v>PENDENTE</v>
      </c>
    </row>
    <row r="171" spans="1:13" x14ac:dyDescent="0.25">
      <c r="A171" s="18" t="s">
        <v>183</v>
      </c>
      <c r="B171" s="18" t="s">
        <v>107</v>
      </c>
      <c r="C171" s="18" t="s">
        <v>163</v>
      </c>
      <c r="D171" s="19" t="s">
        <v>185</v>
      </c>
      <c r="E171" s="18">
        <f t="shared" ref="E171:E178" si="4">E170+1</f>
        <v>302</v>
      </c>
      <c r="F171" s="20" t="b">
        <v>0</v>
      </c>
      <c r="G171" s="20" t="b">
        <v>1</v>
      </c>
      <c r="H171" s="20" t="b">
        <v>0</v>
      </c>
      <c r="I171" s="18" t="str">
        <f>IF(Tabela24[[#This Row],[Federado]]=TRUE,"LIBERADO TRACKER","PENDENTE")</f>
        <v>PENDENTE</v>
      </c>
      <c r="J171" s="20" t="b">
        <v>0</v>
      </c>
      <c r="K171" s="20" t="b">
        <v>0</v>
      </c>
      <c r="L171" s="20" t="b">
        <v>0</v>
      </c>
      <c r="M171" s="18" t="str">
        <f>IF(Tabela24[[#This Row],[Planta QR code]]=TRUE,"LIBERADO PARA OBRA","PENDENTE")</f>
        <v>PENDENTE</v>
      </c>
    </row>
    <row r="172" spans="1:13" x14ac:dyDescent="0.25">
      <c r="A172" s="18" t="s">
        <v>183</v>
      </c>
      <c r="B172" s="18" t="s">
        <v>107</v>
      </c>
      <c r="C172" s="18" t="s">
        <v>163</v>
      </c>
      <c r="D172" s="19" t="s">
        <v>186</v>
      </c>
      <c r="E172" s="18">
        <f t="shared" si="4"/>
        <v>303</v>
      </c>
      <c r="F172" s="20" t="b">
        <v>0</v>
      </c>
      <c r="G172" s="20" t="b">
        <v>1</v>
      </c>
      <c r="H172" s="20" t="b">
        <v>0</v>
      </c>
      <c r="I172" s="18" t="str">
        <f>IF(Tabela24[[#This Row],[Federado]]=TRUE,"LIBERADO TRACKER","PENDENTE")</f>
        <v>PENDENTE</v>
      </c>
      <c r="J172" s="20" t="b">
        <v>0</v>
      </c>
      <c r="K172" s="20" t="b">
        <v>0</v>
      </c>
      <c r="L172" s="20" t="b">
        <v>0</v>
      </c>
      <c r="M172" s="18" t="str">
        <f>IF(Tabela24[[#This Row],[Planta QR code]]=TRUE,"LIBERADO PARA OBRA","PENDENTE")</f>
        <v>PENDENTE</v>
      </c>
    </row>
    <row r="173" spans="1:13" x14ac:dyDescent="0.25">
      <c r="A173" s="18" t="s">
        <v>183</v>
      </c>
      <c r="B173" s="18" t="s">
        <v>107</v>
      </c>
      <c r="C173" s="18" t="s">
        <v>163</v>
      </c>
      <c r="D173" s="19" t="s">
        <v>187</v>
      </c>
      <c r="E173" s="18">
        <f t="shared" si="4"/>
        <v>304</v>
      </c>
      <c r="F173" s="20" t="b">
        <v>0</v>
      </c>
      <c r="G173" s="20" t="b">
        <v>1</v>
      </c>
      <c r="H173" s="20" t="b">
        <v>0</v>
      </c>
      <c r="I173" s="18" t="str">
        <f>IF(Tabela24[[#This Row],[Federado]]=TRUE,"LIBERADO TRACKER","PENDENTE")</f>
        <v>PENDENTE</v>
      </c>
      <c r="J173" s="20" t="b">
        <v>0</v>
      </c>
      <c r="K173" s="20" t="b">
        <v>0</v>
      </c>
      <c r="L173" s="20" t="b">
        <v>0</v>
      </c>
      <c r="M173" s="18" t="str">
        <f>IF(Tabela24[[#This Row],[Planta QR code]]=TRUE,"LIBERADO PARA OBRA","PENDENTE")</f>
        <v>PENDENTE</v>
      </c>
    </row>
    <row r="174" spans="1:13" x14ac:dyDescent="0.25">
      <c r="A174" s="18" t="s">
        <v>183</v>
      </c>
      <c r="B174" s="18" t="s">
        <v>107</v>
      </c>
      <c r="C174" s="18" t="s">
        <v>163</v>
      </c>
      <c r="D174" s="19" t="s">
        <v>188</v>
      </c>
      <c r="E174" s="18">
        <f t="shared" si="4"/>
        <v>305</v>
      </c>
      <c r="F174" s="20" t="b">
        <v>0</v>
      </c>
      <c r="G174" s="20" t="b">
        <v>1</v>
      </c>
      <c r="H174" s="20" t="b">
        <v>0</v>
      </c>
      <c r="I174" s="18" t="str">
        <f>IF(Tabela24[[#This Row],[Federado]]=TRUE,"LIBERADO TRACKER","PENDENTE")</f>
        <v>PENDENTE</v>
      </c>
      <c r="J174" s="20" t="b">
        <v>0</v>
      </c>
      <c r="K174" s="20" t="b">
        <v>0</v>
      </c>
      <c r="L174" s="20" t="b">
        <v>0</v>
      </c>
      <c r="M174" s="18" t="str">
        <f>IF(Tabela24[[#This Row],[Planta QR code]]=TRUE,"LIBERADO PARA OBRA","PENDENTE")</f>
        <v>PENDENTE</v>
      </c>
    </row>
    <row r="175" spans="1:13" x14ac:dyDescent="0.25">
      <c r="A175" s="18" t="s">
        <v>183</v>
      </c>
      <c r="B175" s="18" t="s">
        <v>107</v>
      </c>
      <c r="C175" s="18" t="s">
        <v>163</v>
      </c>
      <c r="D175" s="19" t="s">
        <v>189</v>
      </c>
      <c r="E175" s="18">
        <f t="shared" si="4"/>
        <v>306</v>
      </c>
      <c r="F175" s="20" t="b">
        <v>0</v>
      </c>
      <c r="G175" s="20" t="b">
        <v>1</v>
      </c>
      <c r="H175" s="20" t="b">
        <v>0</v>
      </c>
      <c r="I175" s="18" t="str">
        <f>IF(Tabela24[[#This Row],[Federado]]=TRUE,"LIBERADO TRACKER","PENDENTE")</f>
        <v>PENDENTE</v>
      </c>
      <c r="J175" s="20" t="b">
        <v>0</v>
      </c>
      <c r="K175" s="20" t="b">
        <v>0</v>
      </c>
      <c r="L175" s="20" t="b">
        <v>0</v>
      </c>
      <c r="M175" s="18" t="str">
        <f>IF(Tabela24[[#This Row],[Planta QR code]]=TRUE,"LIBERADO PARA OBRA","PENDENTE")</f>
        <v>PENDENTE</v>
      </c>
    </row>
    <row r="176" spans="1:13" x14ac:dyDescent="0.25">
      <c r="A176" s="18" t="s">
        <v>183</v>
      </c>
      <c r="B176" s="18" t="s">
        <v>107</v>
      </c>
      <c r="C176" s="18" t="s">
        <v>163</v>
      </c>
      <c r="D176" s="19" t="s">
        <v>190</v>
      </c>
      <c r="E176" s="18">
        <f t="shared" si="4"/>
        <v>307</v>
      </c>
      <c r="F176" s="20" t="b">
        <v>0</v>
      </c>
      <c r="G176" s="20" t="b">
        <v>1</v>
      </c>
      <c r="H176" s="20" t="b">
        <v>0</v>
      </c>
      <c r="I176" s="18" t="str">
        <f>IF(Tabela24[[#This Row],[Federado]]=TRUE,"LIBERADO TRACKER","PENDENTE")</f>
        <v>PENDENTE</v>
      </c>
      <c r="J176" s="20" t="b">
        <v>0</v>
      </c>
      <c r="K176" s="20" t="b">
        <v>0</v>
      </c>
      <c r="L176" s="20" t="b">
        <v>0</v>
      </c>
      <c r="M176" s="18" t="str">
        <f>IF(Tabela24[[#This Row],[Planta QR code]]=TRUE,"LIBERADO PARA OBRA","PENDENTE")</f>
        <v>PENDENTE</v>
      </c>
    </row>
    <row r="177" spans="1:13" x14ac:dyDescent="0.25">
      <c r="A177" s="18" t="s">
        <v>183</v>
      </c>
      <c r="B177" s="18" t="s">
        <v>107</v>
      </c>
      <c r="C177" s="18" t="s">
        <v>163</v>
      </c>
      <c r="D177" s="19" t="s">
        <v>191</v>
      </c>
      <c r="E177" s="18">
        <f t="shared" si="4"/>
        <v>308</v>
      </c>
      <c r="F177" s="20" t="b">
        <v>0</v>
      </c>
      <c r="G177" s="20" t="b">
        <v>1</v>
      </c>
      <c r="H177" s="20" t="b">
        <v>0</v>
      </c>
      <c r="I177" s="18" t="str">
        <f>IF(Tabela24[[#This Row],[Federado]]=TRUE,"LIBERADO TRACKER","PENDENTE")</f>
        <v>PENDENTE</v>
      </c>
      <c r="J177" s="20" t="b">
        <v>0</v>
      </c>
      <c r="K177" s="20" t="b">
        <v>0</v>
      </c>
      <c r="L177" s="20" t="b">
        <v>0</v>
      </c>
      <c r="M177" s="18" t="str">
        <f>IF(Tabela24[[#This Row],[Planta QR code]]=TRUE,"LIBERADO PARA OBRA","PENDENTE")</f>
        <v>PENDENTE</v>
      </c>
    </row>
    <row r="178" spans="1:13" x14ac:dyDescent="0.25">
      <c r="A178" s="18" t="s">
        <v>183</v>
      </c>
      <c r="B178" s="18" t="s">
        <v>107</v>
      </c>
      <c r="C178" s="18" t="s">
        <v>163</v>
      </c>
      <c r="D178" s="19" t="s">
        <v>192</v>
      </c>
      <c r="E178" s="18">
        <f t="shared" si="4"/>
        <v>309</v>
      </c>
      <c r="F178" s="20" t="b">
        <v>0</v>
      </c>
      <c r="G178" s="20" t="b">
        <v>1</v>
      </c>
      <c r="H178" s="20" t="b">
        <v>0</v>
      </c>
      <c r="I178" s="18" t="str">
        <f>IF(Tabela24[[#This Row],[Federado]]=TRUE,"LIBERADO TRACKER","PENDENTE")</f>
        <v>PENDENTE</v>
      </c>
      <c r="J178" s="20" t="b">
        <v>0</v>
      </c>
      <c r="K178" s="20" t="b">
        <v>0</v>
      </c>
      <c r="L178" s="20" t="b">
        <v>0</v>
      </c>
      <c r="M178" s="18" t="str">
        <f>IF(Tabela24[[#This Row],[Planta QR code]]=TRUE,"LIBERADO PARA OBRA","PENDENTE")</f>
        <v>PENDENTE</v>
      </c>
    </row>
    <row r="179" spans="1:13" x14ac:dyDescent="0.25">
      <c r="A179" s="18" t="s">
        <v>193</v>
      </c>
      <c r="B179" s="18" t="s">
        <v>107</v>
      </c>
      <c r="C179" s="18" t="s">
        <v>163</v>
      </c>
      <c r="D179" s="19" t="s">
        <v>194</v>
      </c>
      <c r="E179" s="18">
        <v>401</v>
      </c>
      <c r="F179" s="20" t="b">
        <v>0</v>
      </c>
      <c r="G179" s="20" t="b">
        <v>0</v>
      </c>
      <c r="H179" s="20" t="b">
        <v>0</v>
      </c>
      <c r="I179" s="18" t="str">
        <f>IF(Tabela24[[#This Row],[Federado]]=TRUE,"LIBERADO TRACKER","PENDENTE")</f>
        <v>PENDENTE</v>
      </c>
      <c r="J179" s="20" t="b">
        <v>0</v>
      </c>
      <c r="K179" s="20" t="b">
        <v>0</v>
      </c>
      <c r="L179" s="20" t="b">
        <v>0</v>
      </c>
      <c r="M179" s="18" t="str">
        <f>IF(Tabela24[[#This Row],[Planta QR code]]=TRUE,"LIBERADO PARA OBRA","PENDENTE")</f>
        <v>PENDENTE</v>
      </c>
    </row>
    <row r="180" spans="1:13" x14ac:dyDescent="0.25">
      <c r="A180" s="18" t="s">
        <v>193</v>
      </c>
      <c r="B180" s="18" t="s">
        <v>107</v>
      </c>
      <c r="C180" s="18" t="s">
        <v>163</v>
      </c>
      <c r="D180" s="19" t="s">
        <v>195</v>
      </c>
      <c r="E180" s="18">
        <f t="shared" ref="E180:E183" si="5">E179+1</f>
        <v>402</v>
      </c>
      <c r="F180" s="20" t="b">
        <v>0</v>
      </c>
      <c r="G180" s="20" t="b">
        <v>0</v>
      </c>
      <c r="H180" s="20" t="b">
        <v>0</v>
      </c>
      <c r="I180" s="18" t="str">
        <f>IF(Tabela24[[#This Row],[Federado]]=TRUE,"LIBERADO TRACKER","PENDENTE")</f>
        <v>PENDENTE</v>
      </c>
      <c r="J180" s="20" t="b">
        <v>0</v>
      </c>
      <c r="K180" s="20" t="b">
        <v>0</v>
      </c>
      <c r="L180" s="20" t="b">
        <v>0</v>
      </c>
      <c r="M180" s="18" t="str">
        <f>IF(Tabela24[[#This Row],[Planta QR code]]=TRUE,"LIBERADO PARA OBRA","PENDENTE")</f>
        <v>PENDENTE</v>
      </c>
    </row>
    <row r="181" spans="1:13" x14ac:dyDescent="0.25">
      <c r="A181" s="18" t="s">
        <v>193</v>
      </c>
      <c r="B181" s="18" t="s">
        <v>107</v>
      </c>
      <c r="C181" s="18" t="s">
        <v>163</v>
      </c>
      <c r="D181" s="19" t="s">
        <v>196</v>
      </c>
      <c r="E181" s="18">
        <f t="shared" si="5"/>
        <v>403</v>
      </c>
      <c r="F181" s="20" t="b">
        <v>0</v>
      </c>
      <c r="G181" s="20" t="b">
        <v>0</v>
      </c>
      <c r="H181" s="20" t="b">
        <v>0</v>
      </c>
      <c r="I181" s="18" t="str">
        <f>IF(Tabela24[[#This Row],[Federado]]=TRUE,"LIBERADO TRACKER","PENDENTE")</f>
        <v>PENDENTE</v>
      </c>
      <c r="J181" s="20" t="b">
        <v>0</v>
      </c>
      <c r="K181" s="20" t="b">
        <v>0</v>
      </c>
      <c r="L181" s="20" t="b">
        <v>0</v>
      </c>
      <c r="M181" s="18" t="str">
        <f>IF(Tabela24[[#This Row],[Planta QR code]]=TRUE,"LIBERADO PARA OBRA","PENDENTE")</f>
        <v>PENDENTE</v>
      </c>
    </row>
    <row r="182" spans="1:13" x14ac:dyDescent="0.25">
      <c r="A182" s="18" t="s">
        <v>193</v>
      </c>
      <c r="B182" s="18" t="s">
        <v>107</v>
      </c>
      <c r="C182" s="18" t="s">
        <v>163</v>
      </c>
      <c r="D182" s="19" t="s">
        <v>197</v>
      </c>
      <c r="E182" s="18">
        <f t="shared" si="5"/>
        <v>404</v>
      </c>
      <c r="F182" s="20" t="b">
        <v>0</v>
      </c>
      <c r="G182" s="20" t="b">
        <v>0</v>
      </c>
      <c r="H182" s="20" t="b">
        <v>0</v>
      </c>
      <c r="I182" s="18" t="str">
        <f>IF(Tabela24[[#This Row],[Federado]]=TRUE,"LIBERADO TRACKER","PENDENTE")</f>
        <v>PENDENTE</v>
      </c>
      <c r="J182" s="20" t="b">
        <v>0</v>
      </c>
      <c r="K182" s="20" t="b">
        <v>0</v>
      </c>
      <c r="L182" s="20" t="b">
        <v>0</v>
      </c>
      <c r="M182" s="18" t="str">
        <f>IF(Tabela24[[#This Row],[Planta QR code]]=TRUE,"LIBERADO PARA OBRA","PENDENTE")</f>
        <v>PENDENTE</v>
      </c>
    </row>
    <row r="183" spans="1:13" x14ac:dyDescent="0.25">
      <c r="A183" s="18" t="s">
        <v>193</v>
      </c>
      <c r="B183" s="18" t="s">
        <v>107</v>
      </c>
      <c r="C183" s="18" t="s">
        <v>163</v>
      </c>
      <c r="D183" s="19" t="s">
        <v>198</v>
      </c>
      <c r="E183" s="18">
        <f t="shared" si="5"/>
        <v>405</v>
      </c>
      <c r="F183" s="20" t="b">
        <v>0</v>
      </c>
      <c r="G183" s="20" t="b">
        <v>0</v>
      </c>
      <c r="H183" s="20" t="b">
        <v>0</v>
      </c>
      <c r="I183" s="18" t="str">
        <f>IF(Tabela24[[#This Row],[Federado]]=TRUE,"LIBERADO TRACKER","PENDENTE")</f>
        <v>PENDENTE</v>
      </c>
      <c r="J183" s="20" t="b">
        <v>0</v>
      </c>
      <c r="K183" s="20" t="b">
        <v>0</v>
      </c>
      <c r="L183" s="20" t="b">
        <v>0</v>
      </c>
      <c r="M183" s="18" t="str">
        <f>IF(Tabela24[[#This Row],[Planta QR code]]=TRUE,"LIBERADO PARA OBRA","PENDENTE")</f>
        <v>PENDENTE</v>
      </c>
    </row>
    <row r="184" spans="1:13" x14ac:dyDescent="0.25">
      <c r="A184" s="18" t="s">
        <v>322</v>
      </c>
      <c r="B184" s="18" t="s">
        <v>107</v>
      </c>
      <c r="C184" s="18" t="s">
        <v>163</v>
      </c>
      <c r="D184" s="19" t="s">
        <v>323</v>
      </c>
      <c r="E184" s="18">
        <v>501</v>
      </c>
      <c r="F184" s="20" t="b">
        <v>0</v>
      </c>
      <c r="G184" s="20" t="b">
        <v>0</v>
      </c>
      <c r="H184" s="20" t="b">
        <v>0</v>
      </c>
      <c r="I184" s="18" t="str">
        <f>IF(Tabela24[[#This Row],[Federado]]=TRUE,"LIBERADO TRACKER","PENDENTE")</f>
        <v>PENDENTE</v>
      </c>
      <c r="J184" s="20" t="b">
        <v>0</v>
      </c>
      <c r="K184" s="20" t="b">
        <v>0</v>
      </c>
      <c r="L184" s="20" t="b">
        <v>0</v>
      </c>
      <c r="M184" s="18" t="str">
        <f>IF(Tabela24[[#This Row],[Planta QR code]]=TRUE,"LIBERADO PARA OBRA","PENDENTE")</f>
        <v>PENDENTE</v>
      </c>
    </row>
    <row r="185" spans="1:13" x14ac:dyDescent="0.25">
      <c r="A185" s="18" t="s">
        <v>322</v>
      </c>
      <c r="B185" s="18" t="s">
        <v>107</v>
      </c>
      <c r="C185" s="18" t="s">
        <v>163</v>
      </c>
      <c r="D185" s="19" t="s">
        <v>324</v>
      </c>
      <c r="E185" s="18">
        <f t="shared" ref="E185:E189" si="6">E184+1</f>
        <v>502</v>
      </c>
      <c r="F185" s="20" t="b">
        <v>0</v>
      </c>
      <c r="G185" s="20" t="b">
        <v>0</v>
      </c>
      <c r="H185" s="20" t="b">
        <v>0</v>
      </c>
      <c r="I185" s="18" t="str">
        <f>IF(Tabela24[[#This Row],[Federado]]=TRUE,"LIBERADO TRACKER","PENDENTE")</f>
        <v>PENDENTE</v>
      </c>
      <c r="J185" s="20" t="b">
        <v>0</v>
      </c>
      <c r="K185" s="20" t="b">
        <v>0</v>
      </c>
      <c r="L185" s="20" t="b">
        <v>0</v>
      </c>
      <c r="M185" s="18" t="str">
        <f>IF(Tabela24[[#This Row],[Planta QR code]]=TRUE,"LIBERADO PARA OBRA","PENDENTE")</f>
        <v>PENDENTE</v>
      </c>
    </row>
    <row r="186" spans="1:13" x14ac:dyDescent="0.25">
      <c r="A186" s="18" t="s">
        <v>322</v>
      </c>
      <c r="B186" s="18" t="s">
        <v>107</v>
      </c>
      <c r="C186" s="18" t="s">
        <v>163</v>
      </c>
      <c r="D186" s="19" t="s">
        <v>325</v>
      </c>
      <c r="E186" s="18">
        <f t="shared" si="6"/>
        <v>503</v>
      </c>
      <c r="F186" s="20" t="b">
        <v>0</v>
      </c>
      <c r="G186" s="20" t="b">
        <v>0</v>
      </c>
      <c r="H186" s="20" t="b">
        <v>0</v>
      </c>
      <c r="I186" s="18" t="str">
        <f>IF(Tabela24[[#This Row],[Federado]]=TRUE,"LIBERADO TRACKER","PENDENTE")</f>
        <v>PENDENTE</v>
      </c>
      <c r="J186" s="20" t="b">
        <v>0</v>
      </c>
      <c r="K186" s="20" t="b">
        <v>0</v>
      </c>
      <c r="L186" s="20" t="b">
        <v>0</v>
      </c>
      <c r="M186" s="18" t="str">
        <f>IF(Tabela24[[#This Row],[Planta QR code]]=TRUE,"LIBERADO PARA OBRA","PENDENTE")</f>
        <v>PENDENTE</v>
      </c>
    </row>
    <row r="187" spans="1:13" x14ac:dyDescent="0.25">
      <c r="A187" s="18" t="s">
        <v>322</v>
      </c>
      <c r="B187" s="18" t="s">
        <v>107</v>
      </c>
      <c r="C187" s="18" t="s">
        <v>163</v>
      </c>
      <c r="D187" s="19" t="s">
        <v>326</v>
      </c>
      <c r="E187" s="18">
        <f t="shared" si="6"/>
        <v>504</v>
      </c>
      <c r="F187" s="20" t="b">
        <v>0</v>
      </c>
      <c r="G187" s="20" t="b">
        <v>0</v>
      </c>
      <c r="H187" s="20" t="b">
        <v>0</v>
      </c>
      <c r="I187" s="18" t="str">
        <f>IF(Tabela24[[#This Row],[Federado]]=TRUE,"LIBERADO TRACKER","PENDENTE")</f>
        <v>PENDENTE</v>
      </c>
      <c r="J187" s="20" t="b">
        <v>0</v>
      </c>
      <c r="K187" s="20" t="b">
        <v>0</v>
      </c>
      <c r="L187" s="20" t="b">
        <v>0</v>
      </c>
      <c r="M187" s="18" t="str">
        <f>IF(Tabela24[[#This Row],[Planta QR code]]=TRUE,"LIBERADO PARA OBRA","PENDENTE")</f>
        <v>PENDENTE</v>
      </c>
    </row>
    <row r="188" spans="1:13" x14ac:dyDescent="0.25">
      <c r="A188" s="18" t="s">
        <v>322</v>
      </c>
      <c r="B188" s="18" t="s">
        <v>107</v>
      </c>
      <c r="C188" s="18" t="s">
        <v>163</v>
      </c>
      <c r="D188" s="19" t="s">
        <v>327</v>
      </c>
      <c r="E188" s="18">
        <f t="shared" si="6"/>
        <v>505</v>
      </c>
      <c r="F188" s="20" t="b">
        <v>0</v>
      </c>
      <c r="G188" s="20" t="b">
        <v>0</v>
      </c>
      <c r="H188" s="20" t="b">
        <v>0</v>
      </c>
      <c r="I188" s="18" t="str">
        <f>IF(Tabela24[[#This Row],[Federado]]=TRUE,"LIBERADO TRACKER","PENDENTE")</f>
        <v>PENDENTE</v>
      </c>
      <c r="J188" s="20" t="b">
        <v>0</v>
      </c>
      <c r="K188" s="20" t="b">
        <v>0</v>
      </c>
      <c r="L188" s="20" t="b">
        <v>0</v>
      </c>
      <c r="M188" s="18" t="str">
        <f>IF(Tabela24[[#This Row],[Planta QR code]]=TRUE,"LIBERADO PARA OBRA","PENDENTE")</f>
        <v>PENDENTE</v>
      </c>
    </row>
    <row r="189" spans="1:13" x14ac:dyDescent="0.25">
      <c r="A189" s="18" t="s">
        <v>322</v>
      </c>
      <c r="B189" s="18" t="s">
        <v>107</v>
      </c>
      <c r="C189" s="18" t="s">
        <v>163</v>
      </c>
      <c r="D189" s="19" t="s">
        <v>198</v>
      </c>
      <c r="E189" s="18">
        <f t="shared" si="6"/>
        <v>506</v>
      </c>
      <c r="F189" s="20" t="b">
        <v>0</v>
      </c>
      <c r="G189" s="20" t="b">
        <v>1</v>
      </c>
      <c r="H189" s="20" t="b">
        <v>0</v>
      </c>
      <c r="I189" s="18" t="str">
        <f>IF(Tabela24[[#This Row],[Federado]]=TRUE,"LIBERADO TRACKER","PENDENTE")</f>
        <v>PENDENTE</v>
      </c>
      <c r="J189" s="20" t="b">
        <v>0</v>
      </c>
      <c r="K189" s="20" t="b">
        <v>0</v>
      </c>
      <c r="L189" s="20" t="b">
        <v>0</v>
      </c>
      <c r="M189" s="18" t="str">
        <f>IF(Tabela24[[#This Row],[Planta QR code]]=TRUE,"LIBERADO PARA OBRA","PENDENTE")</f>
        <v>PENDENTE</v>
      </c>
    </row>
    <row r="190" spans="1:13" x14ac:dyDescent="0.25">
      <c r="A190" s="18" t="s">
        <v>199</v>
      </c>
      <c r="B190" s="18" t="s">
        <v>107</v>
      </c>
      <c r="C190" s="18" t="s">
        <v>163</v>
      </c>
      <c r="D190" s="19" t="s">
        <v>200</v>
      </c>
      <c r="E190" s="18">
        <v>601</v>
      </c>
      <c r="F190" s="20" t="b">
        <v>0</v>
      </c>
      <c r="G190" s="20" t="b">
        <v>0</v>
      </c>
      <c r="H190" s="20" t="b">
        <v>0</v>
      </c>
      <c r="I190" s="18" t="str">
        <f>IF(Tabela24[[#This Row],[Federado]]=TRUE,"LIBERADO TRACKER","PENDENTE")</f>
        <v>PENDENTE</v>
      </c>
      <c r="J190" s="20" t="b">
        <v>0</v>
      </c>
      <c r="K190" s="20" t="b">
        <v>0</v>
      </c>
      <c r="L190" s="20" t="b">
        <v>0</v>
      </c>
      <c r="M190" s="18" t="str">
        <f>IF(Tabela24[[#This Row],[Planta QR code]]=TRUE,"LIBERADO PARA OBRA","PENDENTE")</f>
        <v>PENDENTE</v>
      </c>
    </row>
    <row r="191" spans="1:13" x14ac:dyDescent="0.25">
      <c r="A191" s="18" t="s">
        <v>199</v>
      </c>
      <c r="B191" s="18" t="s">
        <v>107</v>
      </c>
      <c r="C191" s="18" t="s">
        <v>163</v>
      </c>
      <c r="D191" s="19" t="s">
        <v>201</v>
      </c>
      <c r="E191" s="18">
        <f t="shared" ref="E191:E198" si="7">E190+1</f>
        <v>602</v>
      </c>
      <c r="F191" s="20" t="b">
        <v>0</v>
      </c>
      <c r="G191" s="20" t="b">
        <v>0</v>
      </c>
      <c r="H191" s="20" t="b">
        <v>0</v>
      </c>
      <c r="I191" s="18" t="str">
        <f>IF(Tabela24[[#This Row],[Federado]]=TRUE,"LIBERADO TRACKER","PENDENTE")</f>
        <v>PENDENTE</v>
      </c>
      <c r="J191" s="20" t="b">
        <v>0</v>
      </c>
      <c r="K191" s="20" t="b">
        <v>0</v>
      </c>
      <c r="L191" s="20" t="b">
        <v>0</v>
      </c>
      <c r="M191" s="18" t="str">
        <f>IF(Tabela24[[#This Row],[Planta QR code]]=TRUE,"LIBERADO PARA OBRA","PENDENTE")</f>
        <v>PENDENTE</v>
      </c>
    </row>
    <row r="192" spans="1:13" x14ac:dyDescent="0.25">
      <c r="A192" s="18" t="s">
        <v>199</v>
      </c>
      <c r="B192" s="18" t="s">
        <v>107</v>
      </c>
      <c r="C192" s="18" t="s">
        <v>163</v>
      </c>
      <c r="D192" s="19" t="s">
        <v>202</v>
      </c>
      <c r="E192" s="18">
        <f t="shared" si="7"/>
        <v>603</v>
      </c>
      <c r="F192" s="20" t="b">
        <v>0</v>
      </c>
      <c r="G192" s="20" t="b">
        <v>0</v>
      </c>
      <c r="H192" s="20" t="b">
        <v>0</v>
      </c>
      <c r="I192" s="18" t="str">
        <f>IF(Tabela24[[#This Row],[Federado]]=TRUE,"LIBERADO TRACKER","PENDENTE")</f>
        <v>PENDENTE</v>
      </c>
      <c r="J192" s="20" t="b">
        <v>0</v>
      </c>
      <c r="K192" s="20" t="b">
        <v>0</v>
      </c>
      <c r="L192" s="20" t="b">
        <v>0</v>
      </c>
      <c r="M192" s="18" t="str">
        <f>IF(Tabela24[[#This Row],[Planta QR code]]=TRUE,"LIBERADO PARA OBRA","PENDENTE")</f>
        <v>PENDENTE</v>
      </c>
    </row>
    <row r="193" spans="1:13" x14ac:dyDescent="0.25">
      <c r="A193" s="18" t="s">
        <v>199</v>
      </c>
      <c r="B193" s="18" t="s">
        <v>107</v>
      </c>
      <c r="C193" s="18" t="s">
        <v>163</v>
      </c>
      <c r="D193" s="19" t="s">
        <v>203</v>
      </c>
      <c r="E193" s="18">
        <f t="shared" si="7"/>
        <v>604</v>
      </c>
      <c r="F193" s="20" t="b">
        <v>0</v>
      </c>
      <c r="G193" s="20" t="b">
        <v>0</v>
      </c>
      <c r="H193" s="20" t="b">
        <v>0</v>
      </c>
      <c r="I193" s="18" t="str">
        <f>IF(Tabela24[[#This Row],[Federado]]=TRUE,"LIBERADO TRACKER","PENDENTE")</f>
        <v>PENDENTE</v>
      </c>
      <c r="J193" s="20" t="b">
        <v>0</v>
      </c>
      <c r="K193" s="20" t="b">
        <v>0</v>
      </c>
      <c r="L193" s="20" t="b">
        <v>0</v>
      </c>
      <c r="M193" s="18" t="str">
        <f>IF(Tabela24[[#This Row],[Planta QR code]]=TRUE,"LIBERADO PARA OBRA","PENDENTE")</f>
        <v>PENDENTE</v>
      </c>
    </row>
    <row r="194" spans="1:13" x14ac:dyDescent="0.25">
      <c r="A194" s="18" t="s">
        <v>199</v>
      </c>
      <c r="B194" s="18" t="s">
        <v>107</v>
      </c>
      <c r="C194" s="18" t="s">
        <v>163</v>
      </c>
      <c r="D194" s="19" t="s">
        <v>204</v>
      </c>
      <c r="E194" s="18">
        <f t="shared" si="7"/>
        <v>605</v>
      </c>
      <c r="F194" s="20" t="b">
        <v>0</v>
      </c>
      <c r="G194" s="20" t="b">
        <v>0</v>
      </c>
      <c r="H194" s="20" t="b">
        <v>0</v>
      </c>
      <c r="I194" s="18" t="str">
        <f>IF(Tabela24[[#This Row],[Federado]]=TRUE,"LIBERADO TRACKER","PENDENTE")</f>
        <v>PENDENTE</v>
      </c>
      <c r="J194" s="20" t="b">
        <v>0</v>
      </c>
      <c r="K194" s="20" t="b">
        <v>0</v>
      </c>
      <c r="L194" s="20" t="b">
        <v>0</v>
      </c>
      <c r="M194" s="18" t="str">
        <f>IF(Tabela24[[#This Row],[Planta QR code]]=TRUE,"LIBERADO PARA OBRA","PENDENTE")</f>
        <v>PENDENTE</v>
      </c>
    </row>
    <row r="195" spans="1:13" x14ac:dyDescent="0.25">
      <c r="A195" s="18" t="s">
        <v>199</v>
      </c>
      <c r="B195" s="18" t="s">
        <v>107</v>
      </c>
      <c r="C195" s="18" t="s">
        <v>163</v>
      </c>
      <c r="D195" s="19" t="s">
        <v>130</v>
      </c>
      <c r="E195" s="18">
        <f t="shared" si="7"/>
        <v>606</v>
      </c>
      <c r="F195" s="20" t="b">
        <v>0</v>
      </c>
      <c r="G195" s="20" t="b">
        <v>0</v>
      </c>
      <c r="H195" s="20" t="b">
        <v>0</v>
      </c>
      <c r="I195" s="18" t="str">
        <f>IF(Tabela24[[#This Row],[Federado]]=TRUE,"LIBERADO TRACKER","PENDENTE")</f>
        <v>PENDENTE</v>
      </c>
      <c r="J195" s="20" t="b">
        <v>0</v>
      </c>
      <c r="K195" s="20" t="b">
        <v>0</v>
      </c>
      <c r="L195" s="20" t="b">
        <v>0</v>
      </c>
      <c r="M195" s="18" t="str">
        <f>IF(Tabela24[[#This Row],[Planta QR code]]=TRUE,"LIBERADO PARA OBRA","PENDENTE")</f>
        <v>PENDENTE</v>
      </c>
    </row>
    <row r="196" spans="1:13" x14ac:dyDescent="0.25">
      <c r="A196" s="18" t="s">
        <v>199</v>
      </c>
      <c r="B196" s="18" t="s">
        <v>14</v>
      </c>
      <c r="C196" s="18" t="s">
        <v>163</v>
      </c>
      <c r="D196" s="19" t="s">
        <v>98</v>
      </c>
      <c r="E196" s="18">
        <f t="shared" si="7"/>
        <v>607</v>
      </c>
      <c r="F196" s="20" t="b">
        <v>0</v>
      </c>
      <c r="G196" s="20" t="b">
        <v>0</v>
      </c>
      <c r="H196" s="20" t="b">
        <v>0</v>
      </c>
      <c r="I196" s="18" t="str">
        <f>IF(Tabela24[[#This Row],[Federado]]=TRUE,"LIBERADO TRACKER","PENDENTE")</f>
        <v>PENDENTE</v>
      </c>
      <c r="J196" s="20" t="b">
        <v>0</v>
      </c>
      <c r="K196" s="20" t="b">
        <v>0</v>
      </c>
      <c r="L196" s="20" t="b">
        <v>0</v>
      </c>
      <c r="M196" s="18" t="str">
        <f>IF(Tabela24[[#This Row],[Planta QR code]]=TRUE,"LIBERADO PARA OBRA","PENDENTE")</f>
        <v>PENDENTE</v>
      </c>
    </row>
    <row r="197" spans="1:13" x14ac:dyDescent="0.25">
      <c r="A197" s="18" t="s">
        <v>199</v>
      </c>
      <c r="B197" s="18" t="s">
        <v>14</v>
      </c>
      <c r="C197" s="18" t="s">
        <v>163</v>
      </c>
      <c r="D197" s="19" t="s">
        <v>205</v>
      </c>
      <c r="E197" s="18">
        <f t="shared" si="7"/>
        <v>608</v>
      </c>
      <c r="F197" s="20" t="b">
        <v>0</v>
      </c>
      <c r="G197" s="20" t="b">
        <v>0</v>
      </c>
      <c r="H197" s="20" t="b">
        <v>0</v>
      </c>
      <c r="I197" s="18" t="str">
        <f>IF(Tabela24[[#This Row],[Federado]]=TRUE,"LIBERADO TRACKER","PENDENTE")</f>
        <v>PENDENTE</v>
      </c>
      <c r="J197" s="20" t="b">
        <v>0</v>
      </c>
      <c r="K197" s="20" t="b">
        <v>0</v>
      </c>
      <c r="L197" s="20" t="b">
        <v>0</v>
      </c>
      <c r="M197" s="18" t="str">
        <f>IF(Tabela24[[#This Row],[Planta QR code]]=TRUE,"LIBERADO PARA OBRA","PENDENTE")</f>
        <v>PENDENTE</v>
      </c>
    </row>
    <row r="198" spans="1:13" x14ac:dyDescent="0.25">
      <c r="A198" s="18" t="s">
        <v>199</v>
      </c>
      <c r="B198" s="18" t="s">
        <v>14</v>
      </c>
      <c r="C198" s="18" t="s">
        <v>163</v>
      </c>
      <c r="D198" s="19" t="s">
        <v>206</v>
      </c>
      <c r="E198" s="18">
        <f t="shared" si="7"/>
        <v>609</v>
      </c>
      <c r="F198" s="20" t="b">
        <v>0</v>
      </c>
      <c r="G198" s="20" t="b">
        <v>0</v>
      </c>
      <c r="H198" s="20" t="b">
        <v>0</v>
      </c>
      <c r="I198" s="18" t="str">
        <f>IF(Tabela24[[#This Row],[Federado]]=TRUE,"LIBERADO TRACKER","PENDENTE")</f>
        <v>PENDENTE</v>
      </c>
      <c r="J198" s="20" t="b">
        <v>0</v>
      </c>
      <c r="K198" s="20" t="b">
        <v>0</v>
      </c>
      <c r="L198" s="20" t="b">
        <v>0</v>
      </c>
      <c r="M198" s="18" t="str">
        <f>IF(Tabela24[[#This Row],[Planta QR code]]=TRUE,"LIBERADO PARA OBRA","PENDENTE")</f>
        <v>PENDENTE</v>
      </c>
    </row>
    <row r="199" spans="1:13" x14ac:dyDescent="0.25">
      <c r="A199" s="26"/>
      <c r="B199" s="27"/>
      <c r="C199" s="27"/>
      <c r="D199" s="26">
        <f>SUBTOTAL(103,Tabela24[Sala])</f>
        <v>197</v>
      </c>
      <c r="E199" s="27"/>
      <c r="F199" s="26"/>
      <c r="G199" s="28"/>
      <c r="H199" s="28"/>
      <c r="I199" s="28"/>
      <c r="J199" s="28"/>
      <c r="K199" s="28"/>
      <c r="L199" s="28"/>
      <c r="M199" s="27"/>
    </row>
  </sheetData>
  <phoneticPr fontId="5" type="noConversion"/>
  <conditionalFormatting sqref="I2:I198">
    <cfRule type="containsText" dxfId="8" priority="1" operator="containsText" text="PENDENTE">
      <formula>NOT(ISERROR(SEARCH("PENDENTE",I2)))</formula>
    </cfRule>
    <cfRule type="containsText" dxfId="7" priority="2" operator="containsText" text="LIBERADO">
      <formula>NOT(ISERROR(SEARCH("LIBERADO",I2)))</formula>
    </cfRule>
  </conditionalFormatting>
  <conditionalFormatting sqref="M2:M198">
    <cfRule type="containsText" dxfId="6" priority="7" operator="containsText" text="PENDENTE">
      <formula>NOT(ISERROR(SEARCH("PENDENTE",M2)))</formula>
    </cfRule>
    <cfRule type="containsText" dxfId="5" priority="8" operator="containsText" text="LIBERADO">
      <formula>NOT(ISERROR(SEARCH("LIBERADO",M2)))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E758-19D9-4DC0-8A18-F228DBCBCC9A}">
  <dimension ref="A1:N115"/>
  <sheetViews>
    <sheetView tabSelected="1" zoomScale="85" zoomScaleNormal="85" workbookViewId="0">
      <selection activeCell="H32" sqref="H32"/>
    </sheetView>
  </sheetViews>
  <sheetFormatPr defaultRowHeight="15" x14ac:dyDescent="0.25"/>
  <cols>
    <col min="1" max="1" width="13.28515625" bestFit="1" customWidth="1"/>
    <col min="2" max="2" width="19.5703125" bestFit="1" customWidth="1"/>
    <col min="3" max="3" width="27.140625" bestFit="1" customWidth="1"/>
    <col min="4" max="4" width="59.140625" bestFit="1" customWidth="1"/>
    <col min="5" max="5" width="10.5703125" customWidth="1"/>
    <col min="6" max="6" width="12.28515625" bestFit="1" customWidth="1"/>
    <col min="7" max="7" width="45.42578125" bestFit="1" customWidth="1"/>
    <col min="8" max="9" width="21.28515625" bestFit="1" customWidth="1"/>
    <col min="10" max="10" width="44.42578125" style="17" bestFit="1" customWidth="1"/>
    <col min="11" max="11" width="33" bestFit="1" customWidth="1"/>
    <col min="12" max="12" width="20.28515625" bestFit="1" customWidth="1"/>
    <col min="13" max="13" width="36.85546875" bestFit="1" customWidth="1"/>
    <col min="14" max="14" width="56" bestFit="1" customWidth="1"/>
  </cols>
  <sheetData>
    <row r="1" spans="1:14" ht="30" customHeight="1" x14ac:dyDescent="0.25">
      <c r="A1" s="11" t="s">
        <v>401</v>
      </c>
      <c r="B1" s="11" t="s">
        <v>0</v>
      </c>
      <c r="C1" s="11" t="s">
        <v>209</v>
      </c>
      <c r="D1" s="11" t="s">
        <v>395</v>
      </c>
      <c r="E1" s="10" t="s">
        <v>397</v>
      </c>
      <c r="F1" s="11" t="s">
        <v>398</v>
      </c>
      <c r="G1" s="11" t="s">
        <v>443</v>
      </c>
      <c r="H1" s="10" t="s">
        <v>396</v>
      </c>
      <c r="I1" s="11" t="s">
        <v>403</v>
      </c>
      <c r="J1" s="10" t="s">
        <v>402</v>
      </c>
      <c r="K1" s="11" t="s">
        <v>444</v>
      </c>
      <c r="L1" s="11" t="s">
        <v>399</v>
      </c>
      <c r="M1" s="11" t="s">
        <v>400</v>
      </c>
      <c r="N1" s="11" t="s">
        <v>668</v>
      </c>
    </row>
    <row r="2" spans="1:14" x14ac:dyDescent="0.25">
      <c r="A2" s="18">
        <v>1</v>
      </c>
      <c r="B2" s="18" t="s">
        <v>404</v>
      </c>
      <c r="C2" s="18" t="s">
        <v>405</v>
      </c>
      <c r="D2" s="18" t="s">
        <v>406</v>
      </c>
      <c r="E2" s="20" t="b">
        <v>1</v>
      </c>
      <c r="F2" s="20" t="b">
        <v>1</v>
      </c>
      <c r="G2" s="31"/>
      <c r="H2" s="18" t="s">
        <v>407</v>
      </c>
      <c r="I2" s="18" t="s">
        <v>163</v>
      </c>
      <c r="J2" s="18" t="s">
        <v>408</v>
      </c>
      <c r="K2" s="30"/>
      <c r="L2" s="36"/>
      <c r="M2" s="21"/>
      <c r="N2" s="21"/>
    </row>
    <row r="3" spans="1:14" x14ac:dyDescent="0.25">
      <c r="A3" s="18">
        <f>A2+1</f>
        <v>2</v>
      </c>
      <c r="B3" s="18" t="s">
        <v>404</v>
      </c>
      <c r="C3" s="18" t="s">
        <v>409</v>
      </c>
      <c r="D3" s="18" t="s">
        <v>410</v>
      </c>
      <c r="E3" s="20" t="b">
        <v>1</v>
      </c>
      <c r="F3" s="20" t="b">
        <v>0</v>
      </c>
      <c r="G3" s="31"/>
      <c r="H3" s="18" t="s">
        <v>407</v>
      </c>
      <c r="I3" s="21" t="s">
        <v>163</v>
      </c>
      <c r="J3" s="18" t="s">
        <v>411</v>
      </c>
      <c r="K3" s="30"/>
      <c r="L3" s="21"/>
      <c r="M3" s="21"/>
      <c r="N3" s="21"/>
    </row>
    <row r="4" spans="1:14" x14ac:dyDescent="0.25">
      <c r="A4" s="18">
        <f t="shared" ref="A4:A107" si="0">A3+1</f>
        <v>3</v>
      </c>
      <c r="B4" s="18" t="s">
        <v>404</v>
      </c>
      <c r="C4" s="18" t="s">
        <v>412</v>
      </c>
      <c r="D4" s="18" t="s">
        <v>414</v>
      </c>
      <c r="E4" s="20" t="b">
        <v>1</v>
      </c>
      <c r="F4" s="20" t="b">
        <v>0</v>
      </c>
      <c r="G4" s="31"/>
      <c r="H4" s="18" t="s">
        <v>407</v>
      </c>
      <c r="I4" s="21" t="s">
        <v>163</v>
      </c>
      <c r="J4" s="18" t="s">
        <v>413</v>
      </c>
      <c r="K4" s="30"/>
      <c r="L4" s="21"/>
      <c r="M4" s="21"/>
      <c r="N4" s="21"/>
    </row>
    <row r="5" spans="1:14" x14ac:dyDescent="0.25">
      <c r="A5" s="18">
        <f t="shared" si="0"/>
        <v>4</v>
      </c>
      <c r="B5" s="18" t="s">
        <v>404</v>
      </c>
      <c r="C5" s="18" t="s">
        <v>416</v>
      </c>
      <c r="D5" s="18" t="s">
        <v>417</v>
      </c>
      <c r="E5" s="20" t="b">
        <v>1</v>
      </c>
      <c r="F5" s="20" t="b">
        <v>0</v>
      </c>
      <c r="G5" s="31"/>
      <c r="H5" s="18" t="s">
        <v>407</v>
      </c>
      <c r="I5" s="21" t="s">
        <v>163</v>
      </c>
      <c r="J5" s="18" t="s">
        <v>415</v>
      </c>
      <c r="K5" s="30"/>
      <c r="L5" s="21"/>
      <c r="M5" s="21"/>
      <c r="N5" s="21"/>
    </row>
    <row r="6" spans="1:14" x14ac:dyDescent="0.25">
      <c r="A6" s="18">
        <f t="shared" si="0"/>
        <v>5</v>
      </c>
      <c r="B6" s="18" t="s">
        <v>404</v>
      </c>
      <c r="C6" s="18" t="s">
        <v>440</v>
      </c>
      <c r="D6" s="18" t="s">
        <v>452</v>
      </c>
      <c r="E6" s="20" t="b">
        <v>1</v>
      </c>
      <c r="F6" s="20" t="b">
        <v>0</v>
      </c>
      <c r="G6" s="31" t="s">
        <v>450</v>
      </c>
      <c r="H6" s="18" t="s">
        <v>407</v>
      </c>
      <c r="I6" s="21" t="s">
        <v>163</v>
      </c>
      <c r="J6" s="18" t="s">
        <v>451</v>
      </c>
      <c r="K6" s="30"/>
      <c r="L6" s="21"/>
      <c r="M6" s="21"/>
      <c r="N6" s="21"/>
    </row>
    <row r="7" spans="1:14" x14ac:dyDescent="0.25">
      <c r="A7" s="18">
        <f t="shared" si="0"/>
        <v>6</v>
      </c>
      <c r="B7" s="18" t="s">
        <v>404</v>
      </c>
      <c r="C7" s="18" t="s">
        <v>440</v>
      </c>
      <c r="D7" s="18" t="s">
        <v>468</v>
      </c>
      <c r="E7" s="29" t="b">
        <v>1</v>
      </c>
      <c r="F7" s="20" t="b">
        <v>0</v>
      </c>
      <c r="G7" s="31" t="s">
        <v>467</v>
      </c>
      <c r="H7" s="18" t="s">
        <v>407</v>
      </c>
      <c r="I7" s="21" t="s">
        <v>163</v>
      </c>
      <c r="J7" s="18" t="s">
        <v>451</v>
      </c>
      <c r="K7" s="30"/>
      <c r="L7" s="21"/>
      <c r="M7" s="21"/>
      <c r="N7" s="21"/>
    </row>
    <row r="8" spans="1:14" x14ac:dyDescent="0.25">
      <c r="A8" s="18">
        <f t="shared" si="0"/>
        <v>7</v>
      </c>
      <c r="B8" s="18" t="s">
        <v>404</v>
      </c>
      <c r="C8" s="18" t="s">
        <v>440</v>
      </c>
      <c r="D8" s="18" t="s">
        <v>470</v>
      </c>
      <c r="E8" s="29" t="b">
        <v>1</v>
      </c>
      <c r="F8" s="20" t="b">
        <v>0</v>
      </c>
      <c r="G8" s="31" t="s">
        <v>469</v>
      </c>
      <c r="H8" s="18" t="s">
        <v>407</v>
      </c>
      <c r="I8" s="21" t="s">
        <v>163</v>
      </c>
      <c r="J8" s="18" t="s">
        <v>451</v>
      </c>
      <c r="K8" s="30"/>
      <c r="L8" s="21"/>
      <c r="M8" s="21"/>
      <c r="N8" s="21"/>
    </row>
    <row r="9" spans="1:14" x14ac:dyDescent="0.25">
      <c r="A9" s="18">
        <f t="shared" si="0"/>
        <v>8</v>
      </c>
      <c r="B9" s="18" t="s">
        <v>404</v>
      </c>
      <c r="C9" s="18" t="s">
        <v>440</v>
      </c>
      <c r="D9" s="18" t="s">
        <v>471</v>
      </c>
      <c r="E9" s="29" t="b">
        <v>1</v>
      </c>
      <c r="F9" s="20" t="b">
        <v>0</v>
      </c>
      <c r="G9" s="31" t="s">
        <v>472</v>
      </c>
      <c r="H9" s="18" t="s">
        <v>407</v>
      </c>
      <c r="I9" s="21" t="s">
        <v>163</v>
      </c>
      <c r="J9" s="18" t="s">
        <v>451</v>
      </c>
      <c r="K9" s="30"/>
      <c r="L9" s="21"/>
      <c r="M9" s="21"/>
      <c r="N9" s="21"/>
    </row>
    <row r="10" spans="1:14" x14ac:dyDescent="0.25">
      <c r="A10" s="18">
        <f t="shared" si="0"/>
        <v>9</v>
      </c>
      <c r="B10" s="18" t="s">
        <v>404</v>
      </c>
      <c r="C10" s="18" t="s">
        <v>475</v>
      </c>
      <c r="D10" s="18" t="s">
        <v>490</v>
      </c>
      <c r="E10" s="29" t="b">
        <v>1</v>
      </c>
      <c r="F10" s="20" t="b">
        <v>1</v>
      </c>
      <c r="G10" s="31" t="s">
        <v>491</v>
      </c>
      <c r="H10" s="18" t="s">
        <v>407</v>
      </c>
      <c r="I10" s="21" t="s">
        <v>163</v>
      </c>
      <c r="J10" s="18" t="s">
        <v>492</v>
      </c>
      <c r="K10" s="30"/>
      <c r="L10" s="21"/>
      <c r="M10" s="21"/>
      <c r="N10" s="21"/>
    </row>
    <row r="11" spans="1:14" x14ac:dyDescent="0.25">
      <c r="A11" s="18">
        <f t="shared" si="0"/>
        <v>10</v>
      </c>
      <c r="B11" s="18" t="s">
        <v>404</v>
      </c>
      <c r="C11" s="18" t="s">
        <v>494</v>
      </c>
      <c r="D11" s="18" t="s">
        <v>495</v>
      </c>
      <c r="E11" s="29" t="b">
        <v>1</v>
      </c>
      <c r="F11" s="20" t="b">
        <v>1</v>
      </c>
      <c r="G11" s="31"/>
      <c r="H11" s="18" t="s">
        <v>496</v>
      </c>
      <c r="I11" s="21" t="s">
        <v>497</v>
      </c>
      <c r="J11" s="18" t="s">
        <v>511</v>
      </c>
      <c r="K11" s="30"/>
      <c r="L11" s="21"/>
      <c r="M11" s="21"/>
      <c r="N11" s="21"/>
    </row>
    <row r="12" spans="1:14" x14ac:dyDescent="0.25">
      <c r="A12" s="18">
        <f t="shared" si="0"/>
        <v>11</v>
      </c>
      <c r="B12" s="18" t="s">
        <v>404</v>
      </c>
      <c r="C12" s="18" t="s">
        <v>509</v>
      </c>
      <c r="D12" s="18" t="s">
        <v>508</v>
      </c>
      <c r="E12" s="29" t="b">
        <v>1</v>
      </c>
      <c r="F12" s="20" t="b">
        <v>1</v>
      </c>
      <c r="G12" s="31"/>
      <c r="H12" s="18" t="s">
        <v>496</v>
      </c>
      <c r="I12" s="21" t="s">
        <v>497</v>
      </c>
      <c r="J12" s="18" t="s">
        <v>510</v>
      </c>
      <c r="K12" s="30"/>
      <c r="L12" s="21"/>
      <c r="M12" s="21"/>
      <c r="N12" s="21"/>
    </row>
    <row r="13" spans="1:14" x14ac:dyDescent="0.25">
      <c r="A13" s="18">
        <f t="shared" si="0"/>
        <v>12</v>
      </c>
      <c r="B13" s="18" t="s">
        <v>404</v>
      </c>
      <c r="C13" s="18" t="s">
        <v>593</v>
      </c>
      <c r="D13" s="18" t="s">
        <v>594</v>
      </c>
      <c r="E13" s="29" t="b">
        <v>0</v>
      </c>
      <c r="F13" s="20" t="b">
        <v>1</v>
      </c>
      <c r="G13" s="31"/>
      <c r="H13" s="18" t="s">
        <v>496</v>
      </c>
      <c r="I13" s="21" t="s">
        <v>497</v>
      </c>
      <c r="J13" s="18" t="s">
        <v>595</v>
      </c>
      <c r="K13" s="30"/>
      <c r="L13" s="21"/>
      <c r="M13" s="21"/>
      <c r="N13" s="21"/>
    </row>
    <row r="14" spans="1:14" x14ac:dyDescent="0.25">
      <c r="A14" s="18">
        <f t="shared" ref="A14:A15" si="1">A13+1</f>
        <v>13</v>
      </c>
      <c r="B14" s="18" t="s">
        <v>404</v>
      </c>
      <c r="C14" s="18" t="s">
        <v>218</v>
      </c>
      <c r="D14" s="18" t="s">
        <v>612</v>
      </c>
      <c r="E14" s="29" t="b">
        <v>1</v>
      </c>
      <c r="F14" s="20" t="b">
        <v>1</v>
      </c>
      <c r="G14" s="31"/>
      <c r="H14" s="18" t="s">
        <v>496</v>
      </c>
      <c r="I14" s="21" t="s">
        <v>497</v>
      </c>
      <c r="J14" s="18" t="s">
        <v>613</v>
      </c>
      <c r="K14" s="30"/>
      <c r="L14" s="21"/>
      <c r="M14" s="21"/>
      <c r="N14" s="21"/>
    </row>
    <row r="15" spans="1:14" x14ac:dyDescent="0.25">
      <c r="A15" s="18">
        <f t="shared" si="1"/>
        <v>14</v>
      </c>
      <c r="B15" s="18" t="s">
        <v>404</v>
      </c>
      <c r="C15" s="18" t="s">
        <v>628</v>
      </c>
      <c r="D15" s="18" t="s">
        <v>629</v>
      </c>
      <c r="E15" s="29" t="b">
        <v>1</v>
      </c>
      <c r="F15" s="20" t="b">
        <v>1</v>
      </c>
      <c r="G15" s="31"/>
      <c r="H15" s="18" t="s">
        <v>496</v>
      </c>
      <c r="I15" s="21" t="s">
        <v>497</v>
      </c>
      <c r="J15" s="18" t="s">
        <v>630</v>
      </c>
      <c r="K15" s="30"/>
      <c r="L15" s="21"/>
      <c r="M15" s="21"/>
      <c r="N15" s="21"/>
    </row>
    <row r="16" spans="1:14" x14ac:dyDescent="0.25">
      <c r="A16" s="18"/>
      <c r="B16" s="18"/>
      <c r="C16" s="18"/>
      <c r="D16" s="18"/>
      <c r="E16" s="29" t="b">
        <v>0</v>
      </c>
      <c r="F16" s="20" t="b">
        <v>0</v>
      </c>
      <c r="G16" s="31"/>
      <c r="H16" s="18"/>
      <c r="I16" s="21"/>
      <c r="J16" s="22"/>
      <c r="K16" s="30"/>
      <c r="L16" s="21"/>
      <c r="M16" s="21"/>
      <c r="N16" s="21"/>
    </row>
    <row r="17" spans="1:14" x14ac:dyDescent="0.25">
      <c r="A17" s="18">
        <v>101</v>
      </c>
      <c r="B17" s="18" t="s">
        <v>418</v>
      </c>
      <c r="C17" s="18" t="s">
        <v>405</v>
      </c>
      <c r="D17" s="18" t="s">
        <v>434</v>
      </c>
      <c r="E17" s="20" t="b">
        <v>1</v>
      </c>
      <c r="F17" s="20" t="b">
        <v>1</v>
      </c>
      <c r="G17" s="31"/>
      <c r="H17" s="18" t="s">
        <v>407</v>
      </c>
      <c r="I17" s="21" t="s">
        <v>163</v>
      </c>
      <c r="J17" s="18" t="s">
        <v>435</v>
      </c>
      <c r="K17" s="30"/>
      <c r="L17" s="21"/>
      <c r="M17" s="21"/>
      <c r="N17" s="21"/>
    </row>
    <row r="18" spans="1:14" x14ac:dyDescent="0.25">
      <c r="A18" s="18">
        <f t="shared" si="0"/>
        <v>102</v>
      </c>
      <c r="B18" s="18" t="s">
        <v>418</v>
      </c>
      <c r="C18" s="18" t="s">
        <v>421</v>
      </c>
      <c r="D18" s="18" t="s">
        <v>436</v>
      </c>
      <c r="E18" s="20" t="b">
        <v>1</v>
      </c>
      <c r="F18" s="20" t="b">
        <v>1</v>
      </c>
      <c r="G18" s="31"/>
      <c r="H18" s="18" t="s">
        <v>407</v>
      </c>
      <c r="I18" s="21" t="s">
        <v>163</v>
      </c>
      <c r="J18" s="18" t="s">
        <v>437</v>
      </c>
      <c r="K18" s="30"/>
      <c r="L18" s="21"/>
      <c r="M18" s="21"/>
      <c r="N18" s="21"/>
    </row>
    <row r="19" spans="1:14" x14ac:dyDescent="0.25">
      <c r="A19" s="18">
        <f t="shared" ref="A19:A27" si="2">A18+1</f>
        <v>103</v>
      </c>
      <c r="B19" s="18" t="s">
        <v>418</v>
      </c>
      <c r="C19" s="18" t="s">
        <v>439</v>
      </c>
      <c r="D19" s="18" t="s">
        <v>438</v>
      </c>
      <c r="E19" s="29" t="b">
        <v>1</v>
      </c>
      <c r="F19" s="20" t="b">
        <v>0</v>
      </c>
      <c r="G19" s="31" t="s">
        <v>455</v>
      </c>
      <c r="H19" s="18" t="s">
        <v>407</v>
      </c>
      <c r="I19" s="21" t="s">
        <v>163</v>
      </c>
      <c r="J19" s="18" t="s">
        <v>456</v>
      </c>
      <c r="K19" s="30"/>
      <c r="L19" s="21"/>
      <c r="M19" s="21"/>
      <c r="N19" s="21"/>
    </row>
    <row r="20" spans="1:14" x14ac:dyDescent="0.25">
      <c r="A20" s="18">
        <f t="shared" si="2"/>
        <v>104</v>
      </c>
      <c r="B20" s="18" t="s">
        <v>418</v>
      </c>
      <c r="C20" s="18" t="s">
        <v>440</v>
      </c>
      <c r="D20" s="18" t="s">
        <v>453</v>
      </c>
      <c r="E20" s="29" t="b">
        <v>1</v>
      </c>
      <c r="F20" s="20" t="b">
        <v>0</v>
      </c>
      <c r="G20" s="31" t="s">
        <v>454</v>
      </c>
      <c r="H20" s="18" t="s">
        <v>407</v>
      </c>
      <c r="I20" s="21" t="s">
        <v>163</v>
      </c>
      <c r="J20" s="18" t="s">
        <v>457</v>
      </c>
      <c r="K20" s="30"/>
      <c r="L20" s="21"/>
      <c r="M20" s="21"/>
      <c r="N20" s="21"/>
    </row>
    <row r="21" spans="1:14" x14ac:dyDescent="0.25">
      <c r="A21" s="18">
        <f t="shared" si="2"/>
        <v>105</v>
      </c>
      <c r="B21" s="18" t="s">
        <v>418</v>
      </c>
      <c r="C21" s="18" t="s">
        <v>440</v>
      </c>
      <c r="D21" s="18" t="s">
        <v>459</v>
      </c>
      <c r="E21" s="29" t="b">
        <v>1</v>
      </c>
      <c r="F21" s="20" t="b">
        <v>1</v>
      </c>
      <c r="G21" s="31" t="s">
        <v>458</v>
      </c>
      <c r="H21" s="18" t="s">
        <v>407</v>
      </c>
      <c r="I21" s="21" t="s">
        <v>163</v>
      </c>
      <c r="J21" s="18" t="s">
        <v>457</v>
      </c>
      <c r="K21" s="30"/>
      <c r="L21" s="21"/>
      <c r="M21" s="21"/>
      <c r="N21" s="21"/>
    </row>
    <row r="22" spans="1:14" x14ac:dyDescent="0.25">
      <c r="A22" s="18">
        <f t="shared" si="2"/>
        <v>106</v>
      </c>
      <c r="B22" s="18" t="s">
        <v>418</v>
      </c>
      <c r="C22" s="18" t="s">
        <v>475</v>
      </c>
      <c r="D22" s="18" t="s">
        <v>474</v>
      </c>
      <c r="E22" s="29" t="b">
        <v>1</v>
      </c>
      <c r="F22" s="20" t="b">
        <v>1</v>
      </c>
      <c r="G22" s="31"/>
      <c r="H22" s="18" t="s">
        <v>407</v>
      </c>
      <c r="I22" s="21" t="s">
        <v>163</v>
      </c>
      <c r="J22" s="18" t="s">
        <v>476</v>
      </c>
      <c r="K22" s="30"/>
      <c r="L22" s="21"/>
      <c r="M22" s="21"/>
      <c r="N22" s="21"/>
    </row>
    <row r="23" spans="1:14" x14ac:dyDescent="0.25">
      <c r="A23" s="18">
        <f t="shared" si="2"/>
        <v>107</v>
      </c>
      <c r="B23" s="18" t="s">
        <v>418</v>
      </c>
      <c r="C23" s="18" t="s">
        <v>475</v>
      </c>
      <c r="D23" s="18" t="s">
        <v>478</v>
      </c>
      <c r="E23" s="29" t="b">
        <v>1</v>
      </c>
      <c r="F23" s="20" t="b">
        <v>1</v>
      </c>
      <c r="G23" s="31" t="s">
        <v>477</v>
      </c>
      <c r="H23" s="18" t="s">
        <v>407</v>
      </c>
      <c r="I23" s="21" t="s">
        <v>163</v>
      </c>
      <c r="J23" s="18" t="s">
        <v>476</v>
      </c>
      <c r="K23" s="30"/>
      <c r="L23" s="21"/>
      <c r="M23" s="21"/>
      <c r="N23" s="21"/>
    </row>
    <row r="24" spans="1:14" x14ac:dyDescent="0.25">
      <c r="A24" s="18">
        <f t="shared" si="2"/>
        <v>108</v>
      </c>
      <c r="B24" s="18" t="s">
        <v>418</v>
      </c>
      <c r="C24" s="18" t="s">
        <v>494</v>
      </c>
      <c r="D24" s="18" t="s">
        <v>502</v>
      </c>
      <c r="E24" s="29" t="b">
        <v>1</v>
      </c>
      <c r="F24" s="20" t="b">
        <v>1</v>
      </c>
      <c r="G24" s="31"/>
      <c r="H24" s="18" t="s">
        <v>496</v>
      </c>
      <c r="I24" s="21" t="s">
        <v>20</v>
      </c>
      <c r="J24" s="18" t="s">
        <v>503</v>
      </c>
      <c r="K24" s="30"/>
      <c r="L24" s="21"/>
      <c r="M24" s="21"/>
      <c r="N24" s="21"/>
    </row>
    <row r="25" spans="1:14" x14ac:dyDescent="0.25">
      <c r="A25" s="18">
        <f t="shared" si="2"/>
        <v>109</v>
      </c>
      <c r="B25" s="18" t="s">
        <v>418</v>
      </c>
      <c r="C25" s="18" t="s">
        <v>509</v>
      </c>
      <c r="D25" s="18" t="s">
        <v>512</v>
      </c>
      <c r="E25" s="29" t="b">
        <v>1</v>
      </c>
      <c r="F25" s="20" t="b">
        <v>1</v>
      </c>
      <c r="G25" s="31"/>
      <c r="H25" s="18" t="s">
        <v>496</v>
      </c>
      <c r="I25" s="21" t="s">
        <v>20</v>
      </c>
      <c r="J25" s="18" t="s">
        <v>513</v>
      </c>
      <c r="K25" s="30"/>
      <c r="L25" s="21"/>
      <c r="M25" s="21"/>
      <c r="N25" s="21"/>
    </row>
    <row r="26" spans="1:14" x14ac:dyDescent="0.25">
      <c r="A26" s="18">
        <f t="shared" si="2"/>
        <v>110</v>
      </c>
      <c r="B26" s="18" t="s">
        <v>418</v>
      </c>
      <c r="C26" s="18" t="s">
        <v>475</v>
      </c>
      <c r="D26" s="18" t="s">
        <v>535</v>
      </c>
      <c r="E26" s="29" t="b">
        <v>1</v>
      </c>
      <c r="F26" s="20" t="b">
        <v>1</v>
      </c>
      <c r="G26" s="31"/>
      <c r="H26" s="18" t="s">
        <v>407</v>
      </c>
      <c r="I26" s="21" t="s">
        <v>163</v>
      </c>
      <c r="J26" s="18" t="s">
        <v>536</v>
      </c>
      <c r="K26" s="30"/>
      <c r="L26" s="21"/>
      <c r="M26" s="21"/>
      <c r="N26" s="21"/>
    </row>
    <row r="27" spans="1:14" x14ac:dyDescent="0.25">
      <c r="A27" s="18">
        <f t="shared" si="2"/>
        <v>111</v>
      </c>
      <c r="B27" s="18" t="s">
        <v>418</v>
      </c>
      <c r="C27" s="18" t="s">
        <v>523</v>
      </c>
      <c r="D27" s="18" t="s">
        <v>537</v>
      </c>
      <c r="E27" s="29" t="b">
        <v>1</v>
      </c>
      <c r="F27" s="20" t="b">
        <v>1</v>
      </c>
      <c r="G27" s="31" t="s">
        <v>541</v>
      </c>
      <c r="H27" s="18" t="s">
        <v>407</v>
      </c>
      <c r="I27" s="21" t="s">
        <v>163</v>
      </c>
      <c r="J27" s="18" t="s">
        <v>539</v>
      </c>
      <c r="K27" s="30"/>
      <c r="L27" s="21"/>
      <c r="M27" s="21"/>
      <c r="N27" s="21"/>
    </row>
    <row r="28" spans="1:14" x14ac:dyDescent="0.25">
      <c r="A28" s="18">
        <f t="shared" ref="A28:A34" si="3">A27+1</f>
        <v>112</v>
      </c>
      <c r="B28" s="18" t="s">
        <v>418</v>
      </c>
      <c r="C28" s="18" t="s">
        <v>523</v>
      </c>
      <c r="D28" s="18" t="s">
        <v>538</v>
      </c>
      <c r="E28" s="29" t="b">
        <v>1</v>
      </c>
      <c r="F28" s="20" t="b">
        <v>1</v>
      </c>
      <c r="G28" s="31" t="s">
        <v>542</v>
      </c>
      <c r="H28" s="18" t="s">
        <v>407</v>
      </c>
      <c r="I28" s="21" t="s">
        <v>163</v>
      </c>
      <c r="J28" s="18" t="s">
        <v>540</v>
      </c>
      <c r="K28" s="30"/>
      <c r="L28" s="21"/>
      <c r="M28" s="21"/>
      <c r="N28" s="21"/>
    </row>
    <row r="29" spans="1:14" x14ac:dyDescent="0.25">
      <c r="A29" s="18">
        <f t="shared" si="3"/>
        <v>113</v>
      </c>
      <c r="B29" s="18" t="s">
        <v>418</v>
      </c>
      <c r="C29" s="18" t="s">
        <v>221</v>
      </c>
      <c r="D29" s="18" t="s">
        <v>545</v>
      </c>
      <c r="E29" s="29" t="b">
        <v>1</v>
      </c>
      <c r="F29" s="20" t="b">
        <v>1</v>
      </c>
      <c r="G29" s="31" t="s">
        <v>547</v>
      </c>
      <c r="H29" s="18" t="s">
        <v>496</v>
      </c>
      <c r="I29" s="21" t="s">
        <v>20</v>
      </c>
      <c r="J29" s="18" t="s">
        <v>549</v>
      </c>
      <c r="K29" s="30"/>
      <c r="L29" s="21"/>
      <c r="M29" s="21"/>
      <c r="N29" s="21"/>
    </row>
    <row r="30" spans="1:14" x14ac:dyDescent="0.25">
      <c r="A30" s="18">
        <f t="shared" si="3"/>
        <v>114</v>
      </c>
      <c r="B30" s="18" t="s">
        <v>418</v>
      </c>
      <c r="C30" s="18" t="s">
        <v>221</v>
      </c>
      <c r="D30" s="18" t="s">
        <v>546</v>
      </c>
      <c r="E30" s="29" t="b">
        <v>1</v>
      </c>
      <c r="F30" s="20" t="b">
        <v>1</v>
      </c>
      <c r="G30" s="31" t="s">
        <v>548</v>
      </c>
      <c r="H30" s="18" t="s">
        <v>496</v>
      </c>
      <c r="I30" s="21" t="s">
        <v>20</v>
      </c>
      <c r="J30" s="18" t="s">
        <v>550</v>
      </c>
      <c r="K30" s="30"/>
      <c r="L30" s="21"/>
      <c r="M30" s="21"/>
      <c r="N30" s="21"/>
    </row>
    <row r="31" spans="1:14" x14ac:dyDescent="0.25">
      <c r="A31" s="18">
        <f t="shared" si="3"/>
        <v>115</v>
      </c>
      <c r="B31" s="18" t="s">
        <v>418</v>
      </c>
      <c r="C31" s="18" t="s">
        <v>556</v>
      </c>
      <c r="D31" s="18" t="s">
        <v>558</v>
      </c>
      <c r="E31" s="29" t="b">
        <v>1</v>
      </c>
      <c r="F31" s="20" t="b">
        <v>1</v>
      </c>
      <c r="G31" s="31"/>
      <c r="H31" s="18" t="s">
        <v>496</v>
      </c>
      <c r="I31" s="21" t="s">
        <v>20</v>
      </c>
      <c r="J31" s="18" t="s">
        <v>559</v>
      </c>
      <c r="K31" s="30"/>
      <c r="L31" s="21"/>
      <c r="M31" s="21"/>
      <c r="N31" s="21"/>
    </row>
    <row r="32" spans="1:14" x14ac:dyDescent="0.25">
      <c r="A32" s="18">
        <f t="shared" si="3"/>
        <v>116</v>
      </c>
      <c r="B32" s="18" t="s">
        <v>418</v>
      </c>
      <c r="C32" s="18" t="s">
        <v>405</v>
      </c>
      <c r="D32" s="18" t="s">
        <v>567</v>
      </c>
      <c r="E32" s="29" t="b">
        <v>1</v>
      </c>
      <c r="F32" s="20" t="b">
        <v>1</v>
      </c>
      <c r="G32" s="31" t="s">
        <v>566</v>
      </c>
      <c r="H32" s="18" t="s">
        <v>407</v>
      </c>
      <c r="I32" s="21" t="s">
        <v>163</v>
      </c>
      <c r="J32" s="18" t="s">
        <v>435</v>
      </c>
      <c r="K32" s="30"/>
      <c r="L32" s="21"/>
      <c r="M32" s="21"/>
      <c r="N32" s="21"/>
    </row>
    <row r="33" spans="1:14" x14ac:dyDescent="0.25">
      <c r="A33" s="18">
        <f t="shared" si="3"/>
        <v>117</v>
      </c>
      <c r="B33" s="18" t="s">
        <v>418</v>
      </c>
      <c r="C33" s="18" t="s">
        <v>556</v>
      </c>
      <c r="D33" s="18" t="s">
        <v>569</v>
      </c>
      <c r="E33" s="29" t="b">
        <v>1</v>
      </c>
      <c r="F33" s="20" t="b">
        <v>1</v>
      </c>
      <c r="G33" s="31" t="s">
        <v>566</v>
      </c>
      <c r="H33" s="18" t="s">
        <v>496</v>
      </c>
      <c r="I33" s="21" t="s">
        <v>20</v>
      </c>
      <c r="J33" s="18" t="s">
        <v>570</v>
      </c>
      <c r="K33" s="30"/>
      <c r="L33" s="21"/>
      <c r="M33" s="21"/>
      <c r="N33" s="21"/>
    </row>
    <row r="34" spans="1:14" x14ac:dyDescent="0.25">
      <c r="A34" s="18">
        <f t="shared" si="3"/>
        <v>118</v>
      </c>
      <c r="B34" s="18" t="s">
        <v>418</v>
      </c>
      <c r="C34" s="18" t="s">
        <v>494</v>
      </c>
      <c r="D34" s="18" t="s">
        <v>568</v>
      </c>
      <c r="E34" s="29" t="b">
        <v>1</v>
      </c>
      <c r="F34" s="20" t="b">
        <v>1</v>
      </c>
      <c r="G34" s="31" t="s">
        <v>566</v>
      </c>
      <c r="H34" s="18" t="s">
        <v>496</v>
      </c>
      <c r="I34" s="21" t="s">
        <v>20</v>
      </c>
      <c r="J34" s="18" t="s">
        <v>503</v>
      </c>
      <c r="K34" s="30"/>
      <c r="L34" s="21"/>
      <c r="M34" s="21"/>
      <c r="N34" s="21"/>
    </row>
    <row r="35" spans="1:14" x14ac:dyDescent="0.25">
      <c r="A35" s="18">
        <f t="shared" ref="A35:A44" si="4">A34+1</f>
        <v>119</v>
      </c>
      <c r="B35" s="18" t="s">
        <v>418</v>
      </c>
      <c r="C35" s="18" t="s">
        <v>571</v>
      </c>
      <c r="D35" s="18" t="s">
        <v>572</v>
      </c>
      <c r="E35" s="29" t="b">
        <v>1</v>
      </c>
      <c r="F35" s="20" t="b">
        <v>1</v>
      </c>
      <c r="G35" s="31"/>
      <c r="H35" s="18" t="s">
        <v>407</v>
      </c>
      <c r="I35" s="21" t="s">
        <v>163</v>
      </c>
      <c r="J35" s="18" t="s">
        <v>574</v>
      </c>
      <c r="K35" s="30"/>
      <c r="L35" s="21"/>
      <c r="M35" s="21"/>
      <c r="N35" s="21"/>
    </row>
    <row r="36" spans="1:14" x14ac:dyDescent="0.25">
      <c r="A36" s="18">
        <f t="shared" si="4"/>
        <v>120</v>
      </c>
      <c r="B36" s="18" t="s">
        <v>418</v>
      </c>
      <c r="C36" s="18" t="s">
        <v>571</v>
      </c>
      <c r="D36" s="18" t="s">
        <v>573</v>
      </c>
      <c r="E36" s="29" t="b">
        <v>1</v>
      </c>
      <c r="F36" s="20" t="b">
        <v>1</v>
      </c>
      <c r="G36" s="31"/>
      <c r="H36" s="18" t="s">
        <v>407</v>
      </c>
      <c r="I36" s="21" t="s">
        <v>163</v>
      </c>
      <c r="J36" s="18" t="s">
        <v>575</v>
      </c>
      <c r="K36" s="30"/>
      <c r="L36" s="21"/>
      <c r="M36" s="21"/>
      <c r="N36" s="21"/>
    </row>
    <row r="37" spans="1:14" x14ac:dyDescent="0.25">
      <c r="A37" s="18">
        <f t="shared" si="4"/>
        <v>121</v>
      </c>
      <c r="B37" s="18" t="s">
        <v>418</v>
      </c>
      <c r="C37" s="18" t="s">
        <v>584</v>
      </c>
      <c r="D37" s="18" t="s">
        <v>589</v>
      </c>
      <c r="E37" s="29" t="b">
        <v>1</v>
      </c>
      <c r="F37" s="20" t="b">
        <v>1</v>
      </c>
      <c r="G37" s="31"/>
      <c r="H37" s="18" t="s">
        <v>496</v>
      </c>
      <c r="I37" s="21" t="s">
        <v>20</v>
      </c>
      <c r="J37" s="18" t="s">
        <v>587</v>
      </c>
      <c r="K37" s="30"/>
      <c r="L37" s="21"/>
      <c r="M37" s="21"/>
      <c r="N37" s="21"/>
    </row>
    <row r="38" spans="1:14" x14ac:dyDescent="0.25">
      <c r="A38" s="18">
        <f t="shared" si="4"/>
        <v>122</v>
      </c>
      <c r="B38" s="18" t="s">
        <v>418</v>
      </c>
      <c r="C38" s="18" t="s">
        <v>590</v>
      </c>
      <c r="D38" s="18" t="s">
        <v>592</v>
      </c>
      <c r="E38" s="29" t="b">
        <v>1</v>
      </c>
      <c r="F38" s="20" t="b">
        <v>0</v>
      </c>
      <c r="G38" s="31"/>
      <c r="H38" s="18" t="s">
        <v>496</v>
      </c>
      <c r="I38" s="21" t="s">
        <v>20</v>
      </c>
      <c r="J38" s="18" t="s">
        <v>591</v>
      </c>
      <c r="K38" s="30"/>
      <c r="L38" s="21"/>
      <c r="M38" s="21"/>
      <c r="N38" s="21"/>
    </row>
    <row r="39" spans="1:14" x14ac:dyDescent="0.25">
      <c r="A39" s="18">
        <f t="shared" si="4"/>
        <v>123</v>
      </c>
      <c r="B39" s="18" t="s">
        <v>418</v>
      </c>
      <c r="C39" s="18" t="s">
        <v>593</v>
      </c>
      <c r="D39" s="18" t="s">
        <v>596</v>
      </c>
      <c r="E39" s="29" t="b">
        <v>1</v>
      </c>
      <c r="F39" s="20" t="b">
        <v>1</v>
      </c>
      <c r="G39" s="31"/>
      <c r="H39" s="18" t="s">
        <v>496</v>
      </c>
      <c r="I39" s="21" t="s">
        <v>20</v>
      </c>
      <c r="J39" s="18" t="s">
        <v>597</v>
      </c>
      <c r="K39" s="30"/>
      <c r="L39" s="21"/>
      <c r="M39" s="21"/>
      <c r="N39" s="21"/>
    </row>
    <row r="40" spans="1:14" x14ac:dyDescent="0.25">
      <c r="A40" s="18">
        <f t="shared" si="4"/>
        <v>124</v>
      </c>
      <c r="B40" s="18" t="s">
        <v>418</v>
      </c>
      <c r="C40" s="35" t="s">
        <v>606</v>
      </c>
      <c r="D40" s="18" t="s">
        <v>611</v>
      </c>
      <c r="E40" s="29" t="b">
        <v>0</v>
      </c>
      <c r="F40" s="20" t="b">
        <v>1</v>
      </c>
      <c r="G40" s="31" t="s">
        <v>607</v>
      </c>
      <c r="H40" s="18"/>
      <c r="I40" s="21"/>
      <c r="J40" s="18" t="s">
        <v>609</v>
      </c>
      <c r="K40" s="30"/>
      <c r="L40" s="21"/>
      <c r="M40" s="21"/>
      <c r="N40" s="21"/>
    </row>
    <row r="41" spans="1:14" x14ac:dyDescent="0.25">
      <c r="A41" s="18">
        <f t="shared" si="4"/>
        <v>125</v>
      </c>
      <c r="B41" s="18" t="s">
        <v>418</v>
      </c>
      <c r="C41" s="35" t="s">
        <v>606</v>
      </c>
      <c r="D41" s="18" t="s">
        <v>610</v>
      </c>
      <c r="E41" s="29" t="b">
        <v>0</v>
      </c>
      <c r="F41" s="20" t="b">
        <v>1</v>
      </c>
      <c r="G41" s="31" t="s">
        <v>608</v>
      </c>
      <c r="H41" s="18"/>
      <c r="I41" s="21"/>
      <c r="J41" s="18" t="s">
        <v>609</v>
      </c>
      <c r="K41" s="30"/>
      <c r="L41" s="21"/>
      <c r="M41" s="21"/>
      <c r="N41" s="21"/>
    </row>
    <row r="42" spans="1:14" x14ac:dyDescent="0.25">
      <c r="A42" s="18">
        <f t="shared" si="4"/>
        <v>126</v>
      </c>
      <c r="B42" s="18" t="s">
        <v>418</v>
      </c>
      <c r="C42" s="18" t="s">
        <v>218</v>
      </c>
      <c r="D42" s="18" t="s">
        <v>617</v>
      </c>
      <c r="E42" s="29" t="b">
        <v>1</v>
      </c>
      <c r="F42" s="20" t="b">
        <v>1</v>
      </c>
      <c r="G42" s="31"/>
      <c r="H42" s="18" t="s">
        <v>496</v>
      </c>
      <c r="I42" s="21" t="s">
        <v>20</v>
      </c>
      <c r="J42" s="18" t="s">
        <v>614</v>
      </c>
      <c r="K42" s="30"/>
      <c r="L42" s="21"/>
      <c r="M42" s="21"/>
      <c r="N42" s="21"/>
    </row>
    <row r="43" spans="1:14" x14ac:dyDescent="0.25">
      <c r="A43" s="18">
        <f t="shared" si="4"/>
        <v>127</v>
      </c>
      <c r="B43" s="18" t="s">
        <v>418</v>
      </c>
      <c r="C43" s="18" t="s">
        <v>625</v>
      </c>
      <c r="D43" s="18" t="s">
        <v>627</v>
      </c>
      <c r="E43" s="29" t="b">
        <v>1</v>
      </c>
      <c r="F43" s="20" t="b">
        <v>1</v>
      </c>
      <c r="G43" s="31"/>
      <c r="H43" s="18" t="s">
        <v>496</v>
      </c>
      <c r="I43" s="21" t="s">
        <v>20</v>
      </c>
      <c r="J43" s="18" t="s">
        <v>626</v>
      </c>
      <c r="K43" s="30"/>
      <c r="L43" s="21"/>
      <c r="M43" s="21"/>
      <c r="N43" s="21"/>
    </row>
    <row r="44" spans="1:14" x14ac:dyDescent="0.25">
      <c r="A44" s="18">
        <f t="shared" si="4"/>
        <v>128</v>
      </c>
      <c r="B44" s="18" t="s">
        <v>418</v>
      </c>
      <c r="C44" s="18" t="s">
        <v>628</v>
      </c>
      <c r="D44" s="18" t="s">
        <v>631</v>
      </c>
      <c r="E44" s="29" t="b">
        <v>1</v>
      </c>
      <c r="F44" s="20" t="b">
        <v>1</v>
      </c>
      <c r="G44" s="31"/>
      <c r="H44" s="18" t="s">
        <v>496</v>
      </c>
      <c r="I44" s="21" t="s">
        <v>20</v>
      </c>
      <c r="J44" s="18" t="s">
        <v>632</v>
      </c>
      <c r="K44" s="30"/>
      <c r="L44" s="21"/>
      <c r="M44" s="21"/>
      <c r="N44" s="21"/>
    </row>
    <row r="45" spans="1:14" x14ac:dyDescent="0.25">
      <c r="A45" s="18"/>
      <c r="B45" s="18"/>
      <c r="C45" s="18"/>
      <c r="D45" s="18"/>
      <c r="E45" s="29" t="b">
        <v>0</v>
      </c>
      <c r="F45" s="20" t="b">
        <v>0</v>
      </c>
      <c r="G45" s="31"/>
      <c r="H45" s="18"/>
      <c r="I45" s="21"/>
      <c r="J45" s="22"/>
      <c r="K45" s="30"/>
      <c r="L45" s="21"/>
      <c r="M45" s="21"/>
      <c r="N45" s="21"/>
    </row>
    <row r="46" spans="1:14" x14ac:dyDescent="0.25">
      <c r="A46" s="18">
        <v>201</v>
      </c>
      <c r="B46" s="18" t="s">
        <v>419</v>
      </c>
      <c r="C46" s="18" t="s">
        <v>405</v>
      </c>
      <c r="D46" s="18" t="s">
        <v>432</v>
      </c>
      <c r="E46" s="20" t="b">
        <v>1</v>
      </c>
      <c r="F46" s="20" t="b">
        <v>1</v>
      </c>
      <c r="G46" s="31"/>
      <c r="H46" s="18" t="s">
        <v>407</v>
      </c>
      <c r="I46" s="21" t="s">
        <v>163</v>
      </c>
      <c r="J46" s="18" t="s">
        <v>433</v>
      </c>
      <c r="K46" s="30"/>
      <c r="L46" s="21"/>
      <c r="M46" s="21"/>
      <c r="N46" s="21"/>
    </row>
    <row r="47" spans="1:14" x14ac:dyDescent="0.25">
      <c r="A47" s="18">
        <f t="shared" si="0"/>
        <v>202</v>
      </c>
      <c r="B47" s="18" t="s">
        <v>419</v>
      </c>
      <c r="C47" s="18" t="s">
        <v>440</v>
      </c>
      <c r="D47" s="18" t="s">
        <v>461</v>
      </c>
      <c r="E47" s="20" t="b">
        <v>0</v>
      </c>
      <c r="F47" s="20" t="b">
        <v>1</v>
      </c>
      <c r="G47" s="31" t="s">
        <v>458</v>
      </c>
      <c r="H47" s="18" t="s">
        <v>407</v>
      </c>
      <c r="I47" s="21" t="s">
        <v>163</v>
      </c>
      <c r="J47" s="18" t="s">
        <v>460</v>
      </c>
      <c r="K47" s="30"/>
      <c r="L47" s="21"/>
      <c r="M47" s="21"/>
      <c r="N47" s="21"/>
    </row>
    <row r="48" spans="1:14" x14ac:dyDescent="0.25">
      <c r="A48" s="18">
        <f t="shared" si="0"/>
        <v>203</v>
      </c>
      <c r="B48" s="18" t="s">
        <v>419</v>
      </c>
      <c r="C48" s="18" t="s">
        <v>475</v>
      </c>
      <c r="D48" s="18" t="s">
        <v>481</v>
      </c>
      <c r="E48" s="29" t="b">
        <v>1</v>
      </c>
      <c r="F48" s="20" t="b">
        <v>1</v>
      </c>
      <c r="G48" s="31"/>
      <c r="H48" s="18" t="s">
        <v>407</v>
      </c>
      <c r="I48" s="21" t="s">
        <v>163</v>
      </c>
      <c r="J48" s="18" t="s">
        <v>482</v>
      </c>
      <c r="K48" s="30"/>
      <c r="L48" s="21"/>
      <c r="M48" s="21"/>
      <c r="N48" s="21"/>
    </row>
    <row r="49" spans="1:14" x14ac:dyDescent="0.25">
      <c r="A49" s="18">
        <f t="shared" si="0"/>
        <v>204</v>
      </c>
      <c r="B49" s="18" t="s">
        <v>419</v>
      </c>
      <c r="C49" s="18" t="s">
        <v>494</v>
      </c>
      <c r="D49" s="18" t="s">
        <v>498</v>
      </c>
      <c r="E49" s="29" t="b">
        <v>1</v>
      </c>
      <c r="F49" s="20" t="b">
        <v>1</v>
      </c>
      <c r="G49" s="31"/>
      <c r="H49" s="18" t="s">
        <v>496</v>
      </c>
      <c r="I49" s="21" t="s">
        <v>20</v>
      </c>
      <c r="J49" s="18" t="s">
        <v>499</v>
      </c>
      <c r="K49" s="30"/>
      <c r="L49" s="21"/>
      <c r="M49" s="21"/>
      <c r="N49" s="21"/>
    </row>
    <row r="50" spans="1:14" x14ac:dyDescent="0.25">
      <c r="A50" s="18">
        <f t="shared" si="0"/>
        <v>205</v>
      </c>
      <c r="B50" s="18" t="s">
        <v>419</v>
      </c>
      <c r="C50" s="18" t="s">
        <v>509</v>
      </c>
      <c r="D50" s="18" t="s">
        <v>514</v>
      </c>
      <c r="E50" s="29" t="b">
        <v>1</v>
      </c>
      <c r="F50" s="20" t="b">
        <v>1</v>
      </c>
      <c r="G50" s="31"/>
      <c r="H50" s="18" t="s">
        <v>496</v>
      </c>
      <c r="I50" s="21" t="s">
        <v>20</v>
      </c>
      <c r="J50" s="18" t="s">
        <v>515</v>
      </c>
      <c r="K50" s="30"/>
      <c r="L50" s="21"/>
      <c r="M50" s="21"/>
      <c r="N50" s="21"/>
    </row>
    <row r="51" spans="1:14" x14ac:dyDescent="0.25">
      <c r="A51" s="18">
        <f t="shared" ref="A51:A58" si="5">A50+1</f>
        <v>206</v>
      </c>
      <c r="B51" s="18" t="s">
        <v>419</v>
      </c>
      <c r="C51" s="18" t="s">
        <v>523</v>
      </c>
      <c r="D51" s="18" t="s">
        <v>527</v>
      </c>
      <c r="E51" s="29" t="b">
        <v>1</v>
      </c>
      <c r="F51" s="20" t="b">
        <v>1</v>
      </c>
      <c r="G51" s="31"/>
      <c r="H51" s="18" t="s">
        <v>407</v>
      </c>
      <c r="I51" s="21" t="s">
        <v>163</v>
      </c>
      <c r="J51" s="18" t="s">
        <v>529</v>
      </c>
      <c r="K51" s="30"/>
      <c r="L51" s="21"/>
      <c r="M51" s="21"/>
      <c r="N51" s="21"/>
    </row>
    <row r="52" spans="1:14" x14ac:dyDescent="0.25">
      <c r="A52" s="18">
        <f t="shared" si="5"/>
        <v>207</v>
      </c>
      <c r="B52" s="18" t="s">
        <v>419</v>
      </c>
      <c r="C52" s="18" t="s">
        <v>523</v>
      </c>
      <c r="D52" s="18" t="s">
        <v>528</v>
      </c>
      <c r="E52" s="29" t="b">
        <v>1</v>
      </c>
      <c r="F52" s="20" t="b">
        <v>1</v>
      </c>
      <c r="G52" s="31"/>
      <c r="H52" s="18" t="s">
        <v>407</v>
      </c>
      <c r="I52" s="21" t="s">
        <v>163</v>
      </c>
      <c r="J52" s="18" t="s">
        <v>530</v>
      </c>
      <c r="K52" s="30"/>
      <c r="L52" s="21"/>
      <c r="M52" s="21"/>
      <c r="N52" s="21"/>
    </row>
    <row r="53" spans="1:14" x14ac:dyDescent="0.25">
      <c r="A53" s="18">
        <f t="shared" si="5"/>
        <v>208</v>
      </c>
      <c r="B53" s="18" t="s">
        <v>419</v>
      </c>
      <c r="C53" s="18" t="s">
        <v>221</v>
      </c>
      <c r="D53" s="18" t="s">
        <v>543</v>
      </c>
      <c r="E53" s="29" t="b">
        <v>1</v>
      </c>
      <c r="F53" s="20" t="b">
        <v>1</v>
      </c>
      <c r="G53" s="31"/>
      <c r="H53" s="18" t="s">
        <v>496</v>
      </c>
      <c r="I53" s="21" t="s">
        <v>20</v>
      </c>
      <c r="J53" s="18" t="s">
        <v>544</v>
      </c>
      <c r="K53" s="30"/>
      <c r="L53" s="21"/>
      <c r="M53" s="21"/>
      <c r="N53" s="21"/>
    </row>
    <row r="54" spans="1:14" x14ac:dyDescent="0.25">
      <c r="A54" s="18">
        <f t="shared" si="5"/>
        <v>209</v>
      </c>
      <c r="B54" s="18" t="s">
        <v>419</v>
      </c>
      <c r="C54" s="18" t="s">
        <v>556</v>
      </c>
      <c r="D54" s="18" t="s">
        <v>560</v>
      </c>
      <c r="E54" s="29" t="b">
        <v>1</v>
      </c>
      <c r="F54" s="20" t="b">
        <v>1</v>
      </c>
      <c r="G54" s="31"/>
      <c r="H54" s="18" t="s">
        <v>496</v>
      </c>
      <c r="I54" s="21" t="s">
        <v>20</v>
      </c>
      <c r="J54" s="18" t="s">
        <v>561</v>
      </c>
      <c r="K54" s="30"/>
      <c r="L54" s="21"/>
      <c r="M54" s="21"/>
      <c r="N54" s="21"/>
    </row>
    <row r="55" spans="1:14" x14ac:dyDescent="0.25">
      <c r="A55" s="18">
        <f t="shared" si="5"/>
        <v>210</v>
      </c>
      <c r="B55" s="18" t="s">
        <v>419</v>
      </c>
      <c r="C55" s="18" t="s">
        <v>571</v>
      </c>
      <c r="D55" s="18" t="s">
        <v>576</v>
      </c>
      <c r="E55" s="29" t="b">
        <v>1</v>
      </c>
      <c r="F55" s="20" t="b">
        <v>1</v>
      </c>
      <c r="G55" s="31"/>
      <c r="H55" s="18" t="s">
        <v>407</v>
      </c>
      <c r="I55" s="21" t="s">
        <v>163</v>
      </c>
      <c r="J55" s="18" t="s">
        <v>577</v>
      </c>
      <c r="K55" s="30"/>
      <c r="L55" s="21"/>
      <c r="M55" s="21"/>
      <c r="N55" s="21"/>
    </row>
    <row r="56" spans="1:14" x14ac:dyDescent="0.25">
      <c r="A56" s="18">
        <f t="shared" si="5"/>
        <v>211</v>
      </c>
      <c r="B56" s="18" t="s">
        <v>419</v>
      </c>
      <c r="C56" s="18" t="s">
        <v>584</v>
      </c>
      <c r="D56" s="18" t="s">
        <v>585</v>
      </c>
      <c r="E56" s="29" t="b">
        <v>1</v>
      </c>
      <c r="F56" s="20" t="b">
        <v>1</v>
      </c>
      <c r="G56" s="31" t="s">
        <v>586</v>
      </c>
      <c r="H56" s="18" t="s">
        <v>496</v>
      </c>
      <c r="I56" s="21" t="s">
        <v>20</v>
      </c>
      <c r="J56" s="18" t="s">
        <v>588</v>
      </c>
      <c r="K56" s="30"/>
      <c r="L56" s="21"/>
      <c r="M56" s="21"/>
      <c r="N56" s="21"/>
    </row>
    <row r="57" spans="1:14" x14ac:dyDescent="0.25">
      <c r="A57" s="18">
        <f t="shared" si="5"/>
        <v>212</v>
      </c>
      <c r="B57" s="18" t="s">
        <v>419</v>
      </c>
      <c r="C57" s="18" t="s">
        <v>593</v>
      </c>
      <c r="D57" s="18" t="s">
        <v>598</v>
      </c>
      <c r="E57" s="29" t="b">
        <v>1</v>
      </c>
      <c r="F57" s="20" t="b">
        <v>1</v>
      </c>
      <c r="G57" s="31"/>
      <c r="H57" s="18" t="s">
        <v>496</v>
      </c>
      <c r="I57" s="21" t="s">
        <v>20</v>
      </c>
      <c r="J57" s="18" t="s">
        <v>599</v>
      </c>
      <c r="K57" s="30"/>
      <c r="L57" s="21"/>
      <c r="M57" s="21"/>
      <c r="N57" s="21"/>
    </row>
    <row r="58" spans="1:14" x14ac:dyDescent="0.25">
      <c r="A58" s="18">
        <f t="shared" si="5"/>
        <v>213</v>
      </c>
      <c r="B58" s="18" t="s">
        <v>419</v>
      </c>
      <c r="C58" s="18" t="s">
        <v>218</v>
      </c>
      <c r="D58" s="18" t="s">
        <v>615</v>
      </c>
      <c r="E58" s="29" t="b">
        <v>1</v>
      </c>
      <c r="F58" s="20" t="b">
        <v>1</v>
      </c>
      <c r="G58" s="31"/>
      <c r="H58" s="18" t="s">
        <v>496</v>
      </c>
      <c r="I58" s="21" t="s">
        <v>20</v>
      </c>
      <c r="J58" s="18" t="s">
        <v>616</v>
      </c>
      <c r="K58" s="30"/>
      <c r="L58" s="21"/>
      <c r="M58" s="21"/>
      <c r="N58" s="21"/>
    </row>
    <row r="59" spans="1:14" x14ac:dyDescent="0.25">
      <c r="A59" s="18">
        <f t="shared" ref="A59:A61" si="6">A58+1</f>
        <v>214</v>
      </c>
      <c r="B59" s="18" t="s">
        <v>419</v>
      </c>
      <c r="C59" s="18" t="s">
        <v>623</v>
      </c>
      <c r="D59" s="18" t="s">
        <v>622</v>
      </c>
      <c r="E59" s="29" t="b">
        <v>1</v>
      </c>
      <c r="F59" s="20" t="b">
        <v>1</v>
      </c>
      <c r="G59" s="31"/>
      <c r="H59" s="18" t="s">
        <v>496</v>
      </c>
      <c r="I59" s="21" t="s">
        <v>20</v>
      </c>
      <c r="J59" s="18" t="s">
        <v>624</v>
      </c>
      <c r="K59" s="30"/>
      <c r="L59" s="21"/>
      <c r="M59" s="21"/>
      <c r="N59" s="21"/>
    </row>
    <row r="60" spans="1:14" x14ac:dyDescent="0.25">
      <c r="A60" s="18">
        <f t="shared" si="6"/>
        <v>215</v>
      </c>
      <c r="B60" s="18" t="s">
        <v>419</v>
      </c>
      <c r="C60" s="18" t="s">
        <v>628</v>
      </c>
      <c r="D60" s="18" t="s">
        <v>633</v>
      </c>
      <c r="E60" s="29" t="b">
        <v>1</v>
      </c>
      <c r="F60" s="20" t="b">
        <v>1</v>
      </c>
      <c r="G60" s="31"/>
      <c r="H60" s="18" t="s">
        <v>496</v>
      </c>
      <c r="I60" s="21" t="s">
        <v>20</v>
      </c>
      <c r="J60" s="18" t="s">
        <v>634</v>
      </c>
      <c r="K60" s="30"/>
      <c r="L60" s="21"/>
      <c r="M60" s="21"/>
      <c r="N60" s="21"/>
    </row>
    <row r="61" spans="1:14" x14ac:dyDescent="0.25">
      <c r="A61" s="18">
        <f t="shared" si="6"/>
        <v>216</v>
      </c>
      <c r="B61" s="18" t="s">
        <v>419</v>
      </c>
      <c r="C61" s="18" t="s">
        <v>639</v>
      </c>
      <c r="D61" s="18" t="s">
        <v>640</v>
      </c>
      <c r="E61" s="29" t="b">
        <v>1</v>
      </c>
      <c r="F61" s="20" t="b">
        <v>1</v>
      </c>
      <c r="G61" s="31"/>
      <c r="H61" s="18"/>
      <c r="I61" s="21"/>
      <c r="J61" s="18" t="s">
        <v>641</v>
      </c>
      <c r="K61" s="30"/>
      <c r="L61" s="21"/>
      <c r="M61" s="21"/>
      <c r="N61" s="21"/>
    </row>
    <row r="62" spans="1:14" x14ac:dyDescent="0.25">
      <c r="A62" s="18"/>
      <c r="B62" s="18"/>
      <c r="C62" s="18"/>
      <c r="D62" s="18"/>
      <c r="E62" s="29" t="b">
        <v>0</v>
      </c>
      <c r="F62" s="20" t="b">
        <v>0</v>
      </c>
      <c r="G62" s="31"/>
      <c r="H62" s="18"/>
      <c r="I62" s="21"/>
      <c r="J62" s="22"/>
      <c r="K62" s="30"/>
      <c r="L62" s="21"/>
      <c r="M62" s="21"/>
      <c r="N62" s="21"/>
    </row>
    <row r="63" spans="1:14" x14ac:dyDescent="0.25">
      <c r="A63" s="18">
        <v>301</v>
      </c>
      <c r="B63" s="18" t="s">
        <v>420</v>
      </c>
      <c r="C63" s="18" t="s">
        <v>405</v>
      </c>
      <c r="D63" s="18" t="s">
        <v>426</v>
      </c>
      <c r="E63" s="20" t="b">
        <v>1</v>
      </c>
      <c r="F63" s="20" t="b">
        <v>1</v>
      </c>
      <c r="G63" s="30" t="s">
        <v>427</v>
      </c>
      <c r="H63" s="18" t="s">
        <v>407</v>
      </c>
      <c r="I63" s="21" t="s">
        <v>163</v>
      </c>
      <c r="J63" s="18" t="s">
        <v>430</v>
      </c>
      <c r="K63" s="30" t="s">
        <v>427</v>
      </c>
      <c r="L63" s="21"/>
      <c r="M63" s="21"/>
      <c r="N63" s="21"/>
    </row>
    <row r="64" spans="1:14" x14ac:dyDescent="0.25">
      <c r="A64" s="18">
        <f t="shared" si="0"/>
        <v>302</v>
      </c>
      <c r="B64" s="18" t="s">
        <v>420</v>
      </c>
      <c r="C64" s="18" t="s">
        <v>405</v>
      </c>
      <c r="D64" s="18" t="s">
        <v>429</v>
      </c>
      <c r="E64" s="20" t="b">
        <v>1</v>
      </c>
      <c r="F64" s="20" t="b">
        <v>1</v>
      </c>
      <c r="G64" s="30" t="s">
        <v>428</v>
      </c>
      <c r="H64" s="18" t="s">
        <v>407</v>
      </c>
      <c r="I64" s="21" t="s">
        <v>163</v>
      </c>
      <c r="J64" s="18" t="s">
        <v>431</v>
      </c>
      <c r="K64" s="30" t="s">
        <v>428</v>
      </c>
      <c r="L64" s="21"/>
      <c r="M64" s="21"/>
      <c r="N64" s="21"/>
    </row>
    <row r="65" spans="1:14" x14ac:dyDescent="0.25">
      <c r="A65" s="18">
        <f t="shared" si="0"/>
        <v>303</v>
      </c>
      <c r="B65" s="18" t="s">
        <v>420</v>
      </c>
      <c r="C65" s="18" t="s">
        <v>440</v>
      </c>
      <c r="D65" s="18" t="s">
        <v>445</v>
      </c>
      <c r="E65" s="29" t="b">
        <v>1</v>
      </c>
      <c r="F65" s="20" t="b">
        <v>0</v>
      </c>
      <c r="G65" s="31" t="s">
        <v>446</v>
      </c>
      <c r="H65" s="18" t="s">
        <v>407</v>
      </c>
      <c r="I65" s="21" t="s">
        <v>163</v>
      </c>
      <c r="J65" s="18" t="s">
        <v>447</v>
      </c>
      <c r="K65" s="30"/>
      <c r="L65" s="21"/>
      <c r="M65" s="21"/>
      <c r="N65" s="21"/>
    </row>
    <row r="66" spans="1:14" x14ac:dyDescent="0.25">
      <c r="A66" s="18">
        <f t="shared" si="0"/>
        <v>304</v>
      </c>
      <c r="B66" s="18" t="s">
        <v>420</v>
      </c>
      <c r="C66" s="18" t="s">
        <v>440</v>
      </c>
      <c r="D66" s="18" t="s">
        <v>448</v>
      </c>
      <c r="E66" s="29" t="b">
        <v>1</v>
      </c>
      <c r="F66" s="20" t="b">
        <v>0</v>
      </c>
      <c r="G66" s="31" t="s">
        <v>449</v>
      </c>
      <c r="H66" s="18" t="s">
        <v>407</v>
      </c>
      <c r="I66" s="21" t="s">
        <v>163</v>
      </c>
      <c r="J66" s="18" t="s">
        <v>447</v>
      </c>
      <c r="K66" s="30"/>
      <c r="L66" s="21"/>
      <c r="M66" s="21"/>
      <c r="N66" s="21"/>
    </row>
    <row r="67" spans="1:14" x14ac:dyDescent="0.25">
      <c r="A67" s="18">
        <f t="shared" si="0"/>
        <v>305</v>
      </c>
      <c r="B67" s="18" t="s">
        <v>420</v>
      </c>
      <c r="C67" s="18" t="s">
        <v>440</v>
      </c>
      <c r="D67" s="18" t="s">
        <v>464</v>
      </c>
      <c r="E67" s="29" t="b">
        <v>1</v>
      </c>
      <c r="F67" s="20" t="b">
        <v>0</v>
      </c>
      <c r="G67" s="31" t="s">
        <v>465</v>
      </c>
      <c r="H67" s="18" t="s">
        <v>407</v>
      </c>
      <c r="I67" s="21" t="s">
        <v>163</v>
      </c>
      <c r="J67" s="18" t="s">
        <v>466</v>
      </c>
      <c r="K67" s="30"/>
      <c r="L67" s="21"/>
      <c r="M67" s="21"/>
      <c r="N67" s="21"/>
    </row>
    <row r="68" spans="1:14" x14ac:dyDescent="0.25">
      <c r="A68" s="18">
        <f t="shared" si="0"/>
        <v>306</v>
      </c>
      <c r="B68" s="18" t="s">
        <v>420</v>
      </c>
      <c r="C68" s="18" t="s">
        <v>475</v>
      </c>
      <c r="D68" s="18" t="s">
        <v>483</v>
      </c>
      <c r="E68" s="29" t="b">
        <v>1</v>
      </c>
      <c r="F68" s="20" t="b">
        <v>1</v>
      </c>
      <c r="G68" s="31" t="s">
        <v>486</v>
      </c>
      <c r="H68" s="18" t="s">
        <v>407</v>
      </c>
      <c r="I68" s="21" t="s">
        <v>163</v>
      </c>
      <c r="J68" s="18" t="s">
        <v>488</v>
      </c>
      <c r="K68" s="30"/>
      <c r="L68" s="21"/>
      <c r="M68" s="21"/>
      <c r="N68" s="21"/>
    </row>
    <row r="69" spans="1:14" x14ac:dyDescent="0.25">
      <c r="A69" s="18">
        <f t="shared" si="0"/>
        <v>307</v>
      </c>
      <c r="B69" s="18" t="s">
        <v>420</v>
      </c>
      <c r="C69" s="18" t="s">
        <v>475</v>
      </c>
      <c r="D69" s="18" t="s">
        <v>484</v>
      </c>
      <c r="E69" s="29" t="b">
        <v>1</v>
      </c>
      <c r="F69" s="20" t="b">
        <v>1</v>
      </c>
      <c r="G69" s="31" t="s">
        <v>485</v>
      </c>
      <c r="H69" s="18" t="s">
        <v>407</v>
      </c>
      <c r="I69" s="21" t="s">
        <v>163</v>
      </c>
      <c r="J69" s="18" t="s">
        <v>489</v>
      </c>
      <c r="K69" s="30"/>
      <c r="L69" s="21"/>
      <c r="M69" s="21"/>
      <c r="N69" s="21"/>
    </row>
    <row r="70" spans="1:14" x14ac:dyDescent="0.25">
      <c r="A70" s="18">
        <f t="shared" si="0"/>
        <v>308</v>
      </c>
      <c r="B70" s="18" t="s">
        <v>420</v>
      </c>
      <c r="C70" s="18" t="s">
        <v>494</v>
      </c>
      <c r="D70" s="18" t="s">
        <v>500</v>
      </c>
      <c r="E70" s="29" t="b">
        <v>1</v>
      </c>
      <c r="F70" s="20" t="b">
        <v>1</v>
      </c>
      <c r="G70" s="31"/>
      <c r="H70" s="18" t="s">
        <v>496</v>
      </c>
      <c r="I70" s="21" t="s">
        <v>20</v>
      </c>
      <c r="J70" s="18" t="s">
        <v>501</v>
      </c>
      <c r="K70" s="30"/>
      <c r="L70" s="21"/>
      <c r="M70" s="21"/>
      <c r="N70" s="21"/>
    </row>
    <row r="71" spans="1:14" x14ac:dyDescent="0.25">
      <c r="A71" s="18">
        <f t="shared" si="0"/>
        <v>309</v>
      </c>
      <c r="B71" s="18" t="s">
        <v>420</v>
      </c>
      <c r="C71" s="18" t="s">
        <v>509</v>
      </c>
      <c r="D71" s="18" t="s">
        <v>520</v>
      </c>
      <c r="E71" s="29" t="b">
        <v>1</v>
      </c>
      <c r="F71" s="20" t="b">
        <v>1</v>
      </c>
      <c r="G71" s="31"/>
      <c r="H71" s="18" t="s">
        <v>496</v>
      </c>
      <c r="I71" s="21" t="s">
        <v>20</v>
      </c>
      <c r="J71" s="18" t="s">
        <v>521</v>
      </c>
      <c r="K71" s="30"/>
      <c r="L71" s="21"/>
      <c r="M71" s="21"/>
      <c r="N71" s="21"/>
    </row>
    <row r="72" spans="1:14" x14ac:dyDescent="0.25">
      <c r="A72" s="18">
        <f t="shared" si="0"/>
        <v>310</v>
      </c>
      <c r="B72" s="18" t="s">
        <v>420</v>
      </c>
      <c r="C72" s="18" t="s">
        <v>523</v>
      </c>
      <c r="D72" s="18" t="s">
        <v>525</v>
      </c>
      <c r="E72" s="29" t="b">
        <v>1</v>
      </c>
      <c r="F72" s="20" t="b">
        <v>1</v>
      </c>
      <c r="G72" s="31"/>
      <c r="H72" s="18" t="s">
        <v>496</v>
      </c>
      <c r="I72" s="21" t="s">
        <v>163</v>
      </c>
      <c r="J72" s="18" t="s">
        <v>526</v>
      </c>
      <c r="K72" s="30"/>
      <c r="L72" s="21"/>
      <c r="M72" s="21"/>
      <c r="N72" s="21"/>
    </row>
    <row r="73" spans="1:14" x14ac:dyDescent="0.25">
      <c r="A73" s="18">
        <f t="shared" ref="A73:A78" si="7">A72+1</f>
        <v>311</v>
      </c>
      <c r="B73" s="18" t="s">
        <v>420</v>
      </c>
      <c r="C73" s="18" t="s">
        <v>221</v>
      </c>
      <c r="D73" s="18" t="s">
        <v>551</v>
      </c>
      <c r="E73" s="29" t="b">
        <v>1</v>
      </c>
      <c r="F73" s="20" t="b">
        <v>1</v>
      </c>
      <c r="G73" s="31"/>
      <c r="H73" s="18" t="s">
        <v>496</v>
      </c>
      <c r="I73" s="21" t="s">
        <v>20</v>
      </c>
      <c r="J73" s="18" t="s">
        <v>552</v>
      </c>
      <c r="K73" s="30"/>
      <c r="L73" s="21"/>
      <c r="M73" s="21"/>
      <c r="N73" s="21"/>
    </row>
    <row r="74" spans="1:14" x14ac:dyDescent="0.25">
      <c r="A74" s="18">
        <f t="shared" si="7"/>
        <v>312</v>
      </c>
      <c r="B74" s="18" t="s">
        <v>420</v>
      </c>
      <c r="C74" s="18" t="s">
        <v>556</v>
      </c>
      <c r="D74" s="18" t="s">
        <v>562</v>
      </c>
      <c r="E74" s="29" t="b">
        <v>1</v>
      </c>
      <c r="F74" s="20" t="b">
        <v>1</v>
      </c>
      <c r="G74" s="31"/>
      <c r="H74" s="18" t="s">
        <v>496</v>
      </c>
      <c r="I74" s="21" t="s">
        <v>20</v>
      </c>
      <c r="J74" s="18" t="s">
        <v>563</v>
      </c>
      <c r="K74" s="30"/>
      <c r="L74" s="21"/>
      <c r="M74" s="21"/>
      <c r="N74" s="21"/>
    </row>
    <row r="75" spans="1:14" x14ac:dyDescent="0.25">
      <c r="A75" s="18">
        <f t="shared" si="7"/>
        <v>313</v>
      </c>
      <c r="B75" s="18" t="s">
        <v>420</v>
      </c>
      <c r="C75" s="18" t="s">
        <v>571</v>
      </c>
      <c r="D75" s="18" t="s">
        <v>578</v>
      </c>
      <c r="E75" s="29" t="b">
        <v>1</v>
      </c>
      <c r="F75" s="20" t="b">
        <v>1</v>
      </c>
      <c r="G75" s="31"/>
      <c r="H75" s="18" t="s">
        <v>407</v>
      </c>
      <c r="I75" s="21" t="s">
        <v>163</v>
      </c>
      <c r="J75" s="18" t="s">
        <v>579</v>
      </c>
      <c r="K75" s="30"/>
      <c r="L75" s="21"/>
      <c r="M75" s="21"/>
      <c r="N75" s="21"/>
    </row>
    <row r="76" spans="1:14" x14ac:dyDescent="0.25">
      <c r="A76" s="18">
        <f t="shared" si="7"/>
        <v>314</v>
      </c>
      <c r="B76" s="18" t="s">
        <v>420</v>
      </c>
      <c r="C76" s="18" t="s">
        <v>593</v>
      </c>
      <c r="D76" s="18" t="s">
        <v>600</v>
      </c>
      <c r="E76" s="29" t="b">
        <v>1</v>
      </c>
      <c r="F76" s="20" t="b">
        <v>1</v>
      </c>
      <c r="G76" s="31"/>
      <c r="H76" s="18" t="s">
        <v>496</v>
      </c>
      <c r="I76" s="21" t="s">
        <v>20</v>
      </c>
      <c r="J76" s="18" t="s">
        <v>601</v>
      </c>
      <c r="K76" s="30"/>
      <c r="L76" s="21"/>
      <c r="M76" s="21"/>
      <c r="N76" s="21"/>
    </row>
    <row r="77" spans="1:14" x14ac:dyDescent="0.25">
      <c r="A77" s="18">
        <f t="shared" si="7"/>
        <v>315</v>
      </c>
      <c r="B77" s="18" t="s">
        <v>420</v>
      </c>
      <c r="C77" s="18" t="s">
        <v>218</v>
      </c>
      <c r="D77" s="18" t="s">
        <v>620</v>
      </c>
      <c r="E77" s="29" t="b">
        <v>1</v>
      </c>
      <c r="F77" s="20" t="b">
        <v>1</v>
      </c>
      <c r="G77" s="31"/>
      <c r="H77" s="18" t="s">
        <v>496</v>
      </c>
      <c r="I77" s="21" t="s">
        <v>20</v>
      </c>
      <c r="J77" s="18" t="s">
        <v>621</v>
      </c>
      <c r="K77" s="30"/>
      <c r="L77" s="21"/>
      <c r="M77" s="21"/>
      <c r="N77" s="21"/>
    </row>
    <row r="78" spans="1:14" x14ac:dyDescent="0.25">
      <c r="A78" s="18">
        <f t="shared" si="7"/>
        <v>316</v>
      </c>
      <c r="B78" s="18" t="s">
        <v>420</v>
      </c>
      <c r="C78" s="18" t="s">
        <v>628</v>
      </c>
      <c r="D78" s="18" t="s">
        <v>635</v>
      </c>
      <c r="E78" s="29" t="b">
        <v>1</v>
      </c>
      <c r="F78" s="20" t="b">
        <v>1</v>
      </c>
      <c r="G78" s="31"/>
      <c r="H78" s="18" t="s">
        <v>496</v>
      </c>
      <c r="I78" s="21" t="s">
        <v>20</v>
      </c>
      <c r="J78" s="18" t="s">
        <v>636</v>
      </c>
      <c r="K78" s="30"/>
      <c r="L78" s="21"/>
      <c r="M78" s="21"/>
      <c r="N78" s="21"/>
    </row>
    <row r="79" spans="1:14" x14ac:dyDescent="0.25">
      <c r="A79" s="18"/>
      <c r="B79" s="18"/>
      <c r="C79" s="18"/>
      <c r="D79" s="18"/>
      <c r="E79" s="29" t="b">
        <v>0</v>
      </c>
      <c r="F79" s="20" t="b">
        <v>0</v>
      </c>
      <c r="G79" s="31"/>
      <c r="H79" s="18"/>
      <c r="I79" s="21"/>
      <c r="J79" s="22"/>
      <c r="K79" s="30"/>
      <c r="L79" s="21"/>
      <c r="M79" s="21"/>
      <c r="N79" s="21"/>
    </row>
    <row r="80" spans="1:14" x14ac:dyDescent="0.25">
      <c r="A80" s="18">
        <v>401</v>
      </c>
      <c r="B80" s="18" t="s">
        <v>193</v>
      </c>
      <c r="C80" s="18" t="s">
        <v>405</v>
      </c>
      <c r="D80" s="18" t="s">
        <v>422</v>
      </c>
      <c r="E80" s="20" t="b">
        <v>1</v>
      </c>
      <c r="F80" s="20" t="b">
        <v>1</v>
      </c>
      <c r="G80" s="31"/>
      <c r="H80" s="18" t="s">
        <v>407</v>
      </c>
      <c r="I80" s="21" t="s">
        <v>163</v>
      </c>
      <c r="J80" s="18" t="s">
        <v>423</v>
      </c>
      <c r="K80" s="30"/>
      <c r="L80" s="21"/>
      <c r="M80" s="21"/>
      <c r="N80" s="21"/>
    </row>
    <row r="81" spans="1:14" x14ac:dyDescent="0.25">
      <c r="A81" s="18">
        <f t="shared" si="0"/>
        <v>402</v>
      </c>
      <c r="B81" s="18" t="s">
        <v>193</v>
      </c>
      <c r="C81" s="18" t="s">
        <v>440</v>
      </c>
      <c r="D81" s="18" t="s">
        <v>441</v>
      </c>
      <c r="E81" s="20" t="b">
        <v>1</v>
      </c>
      <c r="F81" s="20" t="b">
        <v>1</v>
      </c>
      <c r="G81" s="31"/>
      <c r="H81" s="18" t="s">
        <v>407</v>
      </c>
      <c r="I81" s="21" t="s">
        <v>163</v>
      </c>
      <c r="J81" s="18" t="s">
        <v>442</v>
      </c>
      <c r="K81" s="30"/>
      <c r="L81" s="21"/>
      <c r="M81" s="21"/>
      <c r="N81" s="21"/>
    </row>
    <row r="82" spans="1:14" x14ac:dyDescent="0.25">
      <c r="A82" s="18">
        <f t="shared" si="0"/>
        <v>403</v>
      </c>
      <c r="B82" s="18" t="s">
        <v>193</v>
      </c>
      <c r="C82" s="18" t="s">
        <v>475</v>
      </c>
      <c r="D82" s="18" t="s">
        <v>493</v>
      </c>
      <c r="E82" s="29" t="b">
        <v>1</v>
      </c>
      <c r="F82" s="20" t="b">
        <v>1</v>
      </c>
      <c r="G82" s="31"/>
      <c r="H82" s="18" t="s">
        <v>407</v>
      </c>
      <c r="I82" s="21" t="s">
        <v>163</v>
      </c>
      <c r="J82" s="18" t="s">
        <v>487</v>
      </c>
      <c r="K82" s="30"/>
      <c r="L82" s="21"/>
      <c r="M82" s="21"/>
      <c r="N82" s="21"/>
    </row>
    <row r="83" spans="1:14" x14ac:dyDescent="0.25">
      <c r="A83" s="18">
        <f t="shared" si="0"/>
        <v>404</v>
      </c>
      <c r="B83" s="18" t="s">
        <v>193</v>
      </c>
      <c r="C83" s="18" t="s">
        <v>494</v>
      </c>
      <c r="D83" s="18" t="s">
        <v>504</v>
      </c>
      <c r="E83" s="29" t="b">
        <v>1</v>
      </c>
      <c r="F83" s="20" t="b">
        <v>1</v>
      </c>
      <c r="G83" s="31"/>
      <c r="H83" s="18" t="s">
        <v>496</v>
      </c>
      <c r="I83" s="21" t="s">
        <v>163</v>
      </c>
      <c r="J83" s="18" t="s">
        <v>505</v>
      </c>
      <c r="K83" s="30"/>
      <c r="L83" s="21"/>
      <c r="M83" s="21"/>
      <c r="N83" s="21"/>
    </row>
    <row r="84" spans="1:14" x14ac:dyDescent="0.25">
      <c r="A84" s="18">
        <f t="shared" si="0"/>
        <v>405</v>
      </c>
      <c r="B84" s="18" t="s">
        <v>193</v>
      </c>
      <c r="C84" s="18" t="s">
        <v>509</v>
      </c>
      <c r="D84" s="18" t="s">
        <v>516</v>
      </c>
      <c r="E84" s="29" t="b">
        <v>1</v>
      </c>
      <c r="F84" s="20" t="b">
        <v>1</v>
      </c>
      <c r="G84" s="31"/>
      <c r="H84" s="18" t="s">
        <v>496</v>
      </c>
      <c r="I84" s="21" t="s">
        <v>163</v>
      </c>
      <c r="J84" s="18" t="s">
        <v>517</v>
      </c>
      <c r="K84" s="30"/>
      <c r="L84" s="21"/>
      <c r="M84" s="21"/>
      <c r="N84" s="21"/>
    </row>
    <row r="85" spans="1:14" x14ac:dyDescent="0.25">
      <c r="A85" s="18">
        <f t="shared" si="0"/>
        <v>406</v>
      </c>
      <c r="B85" s="18" t="s">
        <v>193</v>
      </c>
      <c r="C85" s="18" t="s">
        <v>523</v>
      </c>
      <c r="D85" s="18" t="s">
        <v>522</v>
      </c>
      <c r="E85" s="29" t="b">
        <v>1</v>
      </c>
      <c r="F85" s="20" t="b">
        <v>1</v>
      </c>
      <c r="G85" s="31"/>
      <c r="H85" s="18" t="s">
        <v>407</v>
      </c>
      <c r="I85" s="21" t="s">
        <v>163</v>
      </c>
      <c r="J85" s="18" t="s">
        <v>524</v>
      </c>
      <c r="K85" s="30"/>
      <c r="L85" s="21"/>
      <c r="M85" s="21"/>
      <c r="N85" s="21"/>
    </row>
    <row r="86" spans="1:14" x14ac:dyDescent="0.25">
      <c r="A86" s="18">
        <f t="shared" si="0"/>
        <v>407</v>
      </c>
      <c r="B86" s="18" t="s">
        <v>193</v>
      </c>
      <c r="C86" s="18" t="s">
        <v>556</v>
      </c>
      <c r="D86" s="18" t="s">
        <v>555</v>
      </c>
      <c r="E86" s="29" t="b">
        <v>1</v>
      </c>
      <c r="F86" s="20" t="b">
        <v>1</v>
      </c>
      <c r="G86" s="31"/>
      <c r="H86" s="18" t="s">
        <v>496</v>
      </c>
      <c r="I86" s="21" t="s">
        <v>20</v>
      </c>
      <c r="J86" s="18" t="s">
        <v>557</v>
      </c>
      <c r="K86" s="30"/>
      <c r="L86" s="21"/>
      <c r="M86" s="21"/>
      <c r="N86" s="21"/>
    </row>
    <row r="87" spans="1:14" x14ac:dyDescent="0.25">
      <c r="A87" s="18">
        <f t="shared" si="0"/>
        <v>408</v>
      </c>
      <c r="B87" s="18" t="s">
        <v>193</v>
      </c>
      <c r="C87" s="18" t="s">
        <v>571</v>
      </c>
      <c r="D87" s="18" t="s">
        <v>580</v>
      </c>
      <c r="E87" s="29" t="b">
        <v>1</v>
      </c>
      <c r="F87" s="20" t="b">
        <v>1</v>
      </c>
      <c r="G87" s="31"/>
      <c r="H87" s="18" t="s">
        <v>407</v>
      </c>
      <c r="I87" s="21" t="s">
        <v>163</v>
      </c>
      <c r="J87" s="18" t="s">
        <v>581</v>
      </c>
      <c r="K87" s="30"/>
      <c r="L87" s="21"/>
      <c r="M87" s="21"/>
      <c r="N87" s="21"/>
    </row>
    <row r="88" spans="1:14" x14ac:dyDescent="0.25">
      <c r="A88" s="18">
        <f t="shared" ref="A88:A90" si="8">A87+1</f>
        <v>409</v>
      </c>
      <c r="B88" s="18" t="s">
        <v>193</v>
      </c>
      <c r="C88" s="18" t="s">
        <v>593</v>
      </c>
      <c r="D88" s="18" t="s">
        <v>603</v>
      </c>
      <c r="E88" s="29" t="b">
        <v>1</v>
      </c>
      <c r="F88" s="20" t="b">
        <v>1</v>
      </c>
      <c r="G88" s="31"/>
      <c r="H88" s="18" t="s">
        <v>496</v>
      </c>
      <c r="I88" s="21" t="s">
        <v>20</v>
      </c>
      <c r="J88" s="18" t="s">
        <v>602</v>
      </c>
      <c r="K88" s="30"/>
      <c r="L88" s="21"/>
      <c r="M88" s="21"/>
      <c r="N88" s="21"/>
    </row>
    <row r="89" spans="1:14" x14ac:dyDescent="0.25">
      <c r="A89" s="18">
        <f t="shared" si="8"/>
        <v>410</v>
      </c>
      <c r="B89" s="18" t="s">
        <v>193</v>
      </c>
      <c r="C89" s="18" t="s">
        <v>218</v>
      </c>
      <c r="D89" s="18" t="s">
        <v>618</v>
      </c>
      <c r="E89" s="29" t="b">
        <v>1</v>
      </c>
      <c r="F89" s="20" t="b">
        <v>1</v>
      </c>
      <c r="G89" s="31"/>
      <c r="H89" s="18" t="s">
        <v>496</v>
      </c>
      <c r="I89" s="21" t="s">
        <v>20</v>
      </c>
      <c r="J89" s="18" t="s">
        <v>619</v>
      </c>
      <c r="K89" s="30"/>
      <c r="L89" s="21"/>
      <c r="M89" s="21"/>
      <c r="N89" s="21"/>
    </row>
    <row r="90" spans="1:14" x14ac:dyDescent="0.25">
      <c r="A90" s="18">
        <f t="shared" si="8"/>
        <v>411</v>
      </c>
      <c r="B90" s="18" t="s">
        <v>193</v>
      </c>
      <c r="C90" s="18" t="s">
        <v>628</v>
      </c>
      <c r="D90" s="18" t="s">
        <v>637</v>
      </c>
      <c r="E90" s="29" t="b">
        <v>1</v>
      </c>
      <c r="F90" s="20" t="b">
        <v>1</v>
      </c>
      <c r="G90" s="31"/>
      <c r="H90" s="18" t="s">
        <v>496</v>
      </c>
      <c r="I90" s="21" t="s">
        <v>20</v>
      </c>
      <c r="J90" s="18" t="s">
        <v>638</v>
      </c>
      <c r="K90" s="30"/>
      <c r="L90" s="21"/>
      <c r="M90" s="21"/>
      <c r="N90" s="21"/>
    </row>
    <row r="91" spans="1:14" x14ac:dyDescent="0.25">
      <c r="A91" s="18"/>
      <c r="B91" s="18"/>
      <c r="C91" s="18"/>
      <c r="D91" s="18"/>
      <c r="E91" s="29" t="b">
        <v>0</v>
      </c>
      <c r="F91" s="20" t="b">
        <v>0</v>
      </c>
      <c r="G91" s="31"/>
      <c r="H91" s="18"/>
      <c r="I91" s="21"/>
      <c r="J91" s="22"/>
      <c r="K91" s="30"/>
      <c r="L91" s="21"/>
      <c r="M91" s="21"/>
      <c r="N91" s="21"/>
    </row>
    <row r="92" spans="1:14" x14ac:dyDescent="0.25">
      <c r="A92" s="18">
        <v>501</v>
      </c>
      <c r="B92" s="18" t="s">
        <v>322</v>
      </c>
      <c r="C92" s="18" t="s">
        <v>405</v>
      </c>
      <c r="D92" s="18" t="s">
        <v>644</v>
      </c>
      <c r="E92" s="20" t="b">
        <v>1</v>
      </c>
      <c r="F92" s="20" t="b">
        <v>1</v>
      </c>
      <c r="G92" s="31"/>
      <c r="H92" s="18" t="s">
        <v>473</v>
      </c>
      <c r="I92" s="21" t="s">
        <v>163</v>
      </c>
      <c r="J92" s="18" t="s">
        <v>645</v>
      </c>
      <c r="K92" s="30"/>
      <c r="L92" s="21"/>
      <c r="M92" s="21"/>
      <c r="N92" s="21"/>
    </row>
    <row r="93" spans="1:14" x14ac:dyDescent="0.25">
      <c r="A93" s="18">
        <f t="shared" si="0"/>
        <v>502</v>
      </c>
      <c r="B93" s="18" t="s">
        <v>322</v>
      </c>
      <c r="C93" s="18" t="s">
        <v>440</v>
      </c>
      <c r="D93" s="18" t="s">
        <v>642</v>
      </c>
      <c r="E93" s="20" t="b">
        <v>1</v>
      </c>
      <c r="F93" s="20" t="b">
        <v>1</v>
      </c>
      <c r="G93" s="31"/>
      <c r="H93" s="18" t="s">
        <v>473</v>
      </c>
      <c r="I93" s="21" t="s">
        <v>163</v>
      </c>
      <c r="J93" s="18" t="s">
        <v>643</v>
      </c>
      <c r="K93" s="30"/>
      <c r="L93" s="21"/>
      <c r="M93" s="21"/>
      <c r="N93" s="21"/>
    </row>
    <row r="94" spans="1:14" x14ac:dyDescent="0.25">
      <c r="A94" s="18">
        <f t="shared" si="0"/>
        <v>503</v>
      </c>
      <c r="B94" s="18" t="s">
        <v>322</v>
      </c>
      <c r="C94" s="18" t="s">
        <v>646</v>
      </c>
      <c r="D94" s="18" t="s">
        <v>647</v>
      </c>
      <c r="E94" s="29" t="b">
        <v>1</v>
      </c>
      <c r="F94" s="20" t="b">
        <v>1</v>
      </c>
      <c r="G94" s="31"/>
      <c r="H94" s="18" t="s">
        <v>473</v>
      </c>
      <c r="I94" s="21" t="s">
        <v>163</v>
      </c>
      <c r="J94" s="18" t="s">
        <v>648</v>
      </c>
      <c r="K94" s="30"/>
      <c r="L94" s="21"/>
      <c r="M94" s="21"/>
      <c r="N94" s="21"/>
    </row>
    <row r="95" spans="1:14" x14ac:dyDescent="0.25">
      <c r="A95" s="18">
        <f t="shared" si="0"/>
        <v>504</v>
      </c>
      <c r="B95" s="18" t="s">
        <v>322</v>
      </c>
      <c r="C95" s="18" t="s">
        <v>494</v>
      </c>
      <c r="D95" s="18" t="s">
        <v>649</v>
      </c>
      <c r="E95" s="29" t="b">
        <v>1</v>
      </c>
      <c r="F95" s="20" t="b">
        <v>1</v>
      </c>
      <c r="G95" s="31"/>
      <c r="H95" s="18" t="s">
        <v>473</v>
      </c>
      <c r="I95" s="21" t="s">
        <v>163</v>
      </c>
      <c r="J95" s="18" t="s">
        <v>654</v>
      </c>
      <c r="K95" s="30"/>
      <c r="L95" s="21"/>
      <c r="M95" s="21"/>
      <c r="N95" s="21"/>
    </row>
    <row r="96" spans="1:14" x14ac:dyDescent="0.25">
      <c r="A96" s="18">
        <f t="shared" si="0"/>
        <v>505</v>
      </c>
      <c r="B96" s="18" t="s">
        <v>322</v>
      </c>
      <c r="C96" s="18" t="s">
        <v>494</v>
      </c>
      <c r="D96" s="18" t="s">
        <v>652</v>
      </c>
      <c r="E96" s="29" t="b">
        <v>1</v>
      </c>
      <c r="F96" s="20" t="b">
        <v>1</v>
      </c>
      <c r="G96" s="31" t="s">
        <v>653</v>
      </c>
      <c r="H96" s="18" t="s">
        <v>473</v>
      </c>
      <c r="I96" s="21" t="s">
        <v>163</v>
      </c>
      <c r="J96" s="18" t="s">
        <v>655</v>
      </c>
      <c r="K96" s="30"/>
      <c r="L96" s="21"/>
      <c r="M96" s="21"/>
      <c r="N96" s="21"/>
    </row>
    <row r="97" spans="1:14" x14ac:dyDescent="0.25">
      <c r="A97" s="18">
        <f t="shared" si="0"/>
        <v>506</v>
      </c>
      <c r="B97" s="18" t="s">
        <v>322</v>
      </c>
      <c r="C97" s="18" t="s">
        <v>509</v>
      </c>
      <c r="D97" s="18" t="s">
        <v>650</v>
      </c>
      <c r="E97" s="29" t="b">
        <v>1</v>
      </c>
      <c r="F97" s="20" t="b">
        <v>1</v>
      </c>
      <c r="G97" s="31"/>
      <c r="H97" s="18" t="s">
        <v>473</v>
      </c>
      <c r="I97" s="21" t="s">
        <v>163</v>
      </c>
      <c r="J97" s="18" t="s">
        <v>657</v>
      </c>
      <c r="K97" s="30"/>
      <c r="L97" s="21"/>
      <c r="M97" s="21"/>
      <c r="N97" s="21"/>
    </row>
    <row r="98" spans="1:14" x14ac:dyDescent="0.25">
      <c r="A98" s="18">
        <f t="shared" si="0"/>
        <v>507</v>
      </c>
      <c r="B98" s="18" t="s">
        <v>322</v>
      </c>
      <c r="C98" s="18" t="s">
        <v>593</v>
      </c>
      <c r="D98" s="18" t="s">
        <v>651</v>
      </c>
      <c r="E98" s="29" t="b">
        <v>1</v>
      </c>
      <c r="F98" s="20" t="b">
        <v>1</v>
      </c>
      <c r="G98" s="31"/>
      <c r="H98" s="18" t="s">
        <v>473</v>
      </c>
      <c r="I98" s="21" t="s">
        <v>163</v>
      </c>
      <c r="J98" s="18" t="s">
        <v>656</v>
      </c>
      <c r="K98" s="30"/>
      <c r="L98" s="21"/>
      <c r="M98" s="21"/>
      <c r="N98" s="21"/>
    </row>
    <row r="99" spans="1:14" x14ac:dyDescent="0.25">
      <c r="A99" s="18">
        <f t="shared" si="0"/>
        <v>508</v>
      </c>
      <c r="B99" s="18" t="s">
        <v>322</v>
      </c>
      <c r="C99" s="18" t="s">
        <v>475</v>
      </c>
      <c r="D99" s="18" t="s">
        <v>658</v>
      </c>
      <c r="E99" s="29" t="b">
        <v>1</v>
      </c>
      <c r="F99" s="20" t="b">
        <v>0</v>
      </c>
      <c r="G99" s="31"/>
      <c r="H99" s="18" t="s">
        <v>473</v>
      </c>
      <c r="I99" s="21" t="s">
        <v>163</v>
      </c>
      <c r="J99" s="18" t="s">
        <v>659</v>
      </c>
      <c r="K99" s="30"/>
      <c r="L99" s="21"/>
      <c r="M99" s="21"/>
      <c r="N99" s="21"/>
    </row>
    <row r="100" spans="1:14" x14ac:dyDescent="0.25">
      <c r="A100" s="18">
        <f t="shared" si="0"/>
        <v>509</v>
      </c>
      <c r="B100" s="18" t="s">
        <v>322</v>
      </c>
      <c r="C100" s="18" t="s">
        <v>416</v>
      </c>
      <c r="D100" s="18" t="s">
        <v>660</v>
      </c>
      <c r="E100" s="29" t="b">
        <v>0</v>
      </c>
      <c r="F100" s="20" t="b">
        <v>1</v>
      </c>
      <c r="G100" s="31"/>
      <c r="H100" s="18" t="s">
        <v>473</v>
      </c>
      <c r="I100" s="21" t="s">
        <v>163</v>
      </c>
      <c r="J100" s="18" t="s">
        <v>661</v>
      </c>
      <c r="K100" s="30"/>
      <c r="L100" s="21"/>
      <c r="M100" s="21"/>
      <c r="N100" s="21"/>
    </row>
    <row r="101" spans="1:14" x14ac:dyDescent="0.25">
      <c r="A101" s="18">
        <f t="shared" si="0"/>
        <v>510</v>
      </c>
      <c r="B101" s="18" t="s">
        <v>322</v>
      </c>
      <c r="C101" s="18" t="s">
        <v>412</v>
      </c>
      <c r="D101" s="18" t="s">
        <v>666</v>
      </c>
      <c r="E101" s="29" t="b">
        <v>1</v>
      </c>
      <c r="F101" s="20" t="b">
        <v>0</v>
      </c>
      <c r="G101" s="31"/>
      <c r="H101" s="18" t="s">
        <v>473</v>
      </c>
      <c r="I101" s="21" t="s">
        <v>163</v>
      </c>
      <c r="J101" s="18" t="s">
        <v>667</v>
      </c>
      <c r="K101" s="30"/>
      <c r="L101" s="21"/>
      <c r="M101" s="21"/>
      <c r="N101" s="21"/>
    </row>
    <row r="102" spans="1:14" x14ac:dyDescent="0.25">
      <c r="A102" s="18">
        <f t="shared" si="0"/>
        <v>511</v>
      </c>
      <c r="B102" s="18" t="s">
        <v>322</v>
      </c>
      <c r="C102" s="18" t="s">
        <v>221</v>
      </c>
      <c r="D102" s="18" t="s">
        <v>662</v>
      </c>
      <c r="E102" s="29" t="b">
        <v>1</v>
      </c>
      <c r="F102" s="20" t="b">
        <v>0</v>
      </c>
      <c r="G102" s="31"/>
      <c r="H102" s="18" t="s">
        <v>473</v>
      </c>
      <c r="I102" s="21" t="s">
        <v>163</v>
      </c>
      <c r="J102" s="18" t="s">
        <v>663</v>
      </c>
      <c r="K102" s="30"/>
      <c r="L102" s="21"/>
      <c r="M102" s="21"/>
      <c r="N102" s="21"/>
    </row>
    <row r="103" spans="1:14" x14ac:dyDescent="0.25">
      <c r="A103" s="18">
        <f t="shared" si="0"/>
        <v>512</v>
      </c>
      <c r="B103" s="18" t="s">
        <v>322</v>
      </c>
      <c r="C103" s="18" t="s">
        <v>556</v>
      </c>
      <c r="D103" s="18" t="s">
        <v>664</v>
      </c>
      <c r="E103" s="29" t="b">
        <v>1</v>
      </c>
      <c r="F103" s="20" t="b">
        <v>1</v>
      </c>
      <c r="G103" s="31"/>
      <c r="H103" s="18"/>
      <c r="I103" s="21"/>
      <c r="J103" s="18" t="s">
        <v>665</v>
      </c>
      <c r="K103" s="30"/>
      <c r="L103" s="21"/>
      <c r="M103" s="21"/>
      <c r="N103" s="21"/>
    </row>
    <row r="104" spans="1:14" x14ac:dyDescent="0.25">
      <c r="A104" s="18"/>
      <c r="B104" s="18"/>
      <c r="C104" s="18"/>
      <c r="D104" s="18"/>
      <c r="E104" s="29" t="b">
        <v>0</v>
      </c>
      <c r="F104" s="20" t="b">
        <v>0</v>
      </c>
      <c r="G104" s="31"/>
      <c r="H104" s="18"/>
      <c r="I104" s="21"/>
      <c r="J104" s="22"/>
      <c r="K104" s="30"/>
      <c r="L104" s="21"/>
      <c r="M104" s="21"/>
      <c r="N104" s="21"/>
    </row>
    <row r="105" spans="1:14" x14ac:dyDescent="0.25">
      <c r="A105" s="18">
        <v>601</v>
      </c>
      <c r="B105" s="18" t="s">
        <v>199</v>
      </c>
      <c r="C105" s="18" t="s">
        <v>405</v>
      </c>
      <c r="D105" s="18" t="s">
        <v>424</v>
      </c>
      <c r="E105" s="20" t="b">
        <v>1</v>
      </c>
      <c r="F105" s="20" t="b">
        <v>1</v>
      </c>
      <c r="G105" s="31"/>
      <c r="H105" s="18" t="s">
        <v>473</v>
      </c>
      <c r="I105" s="21" t="s">
        <v>163</v>
      </c>
      <c r="J105" s="18" t="s">
        <v>425</v>
      </c>
      <c r="K105" s="30"/>
      <c r="L105" s="21"/>
      <c r="M105" s="21"/>
      <c r="N105" s="21"/>
    </row>
    <row r="106" spans="1:14" x14ac:dyDescent="0.25">
      <c r="A106" s="18">
        <f t="shared" si="0"/>
        <v>602</v>
      </c>
      <c r="B106" s="18" t="s">
        <v>199</v>
      </c>
      <c r="C106" s="18" t="s">
        <v>440</v>
      </c>
      <c r="D106" s="18" t="s">
        <v>462</v>
      </c>
      <c r="E106" s="20" t="b">
        <v>1</v>
      </c>
      <c r="F106" s="20" t="b">
        <v>1</v>
      </c>
      <c r="G106" s="31"/>
      <c r="H106" s="18" t="s">
        <v>473</v>
      </c>
      <c r="I106" s="21" t="s">
        <v>163</v>
      </c>
      <c r="J106" s="18" t="s">
        <v>463</v>
      </c>
      <c r="K106" s="30"/>
      <c r="L106" s="21"/>
      <c r="M106" s="21"/>
      <c r="N106" s="21"/>
    </row>
    <row r="107" spans="1:14" x14ac:dyDescent="0.25">
      <c r="A107" s="18">
        <f t="shared" si="0"/>
        <v>603</v>
      </c>
      <c r="B107" s="18" t="s">
        <v>199</v>
      </c>
      <c r="C107" s="18" t="s">
        <v>475</v>
      </c>
      <c r="D107" s="18" t="s">
        <v>479</v>
      </c>
      <c r="E107" s="20" t="b">
        <v>1</v>
      </c>
      <c r="F107" s="20" t="b">
        <v>1</v>
      </c>
      <c r="G107" s="31"/>
      <c r="H107" s="18" t="s">
        <v>473</v>
      </c>
      <c r="I107" s="21" t="s">
        <v>163</v>
      </c>
      <c r="J107" s="18" t="s">
        <v>480</v>
      </c>
      <c r="K107" s="30"/>
      <c r="L107" s="21"/>
      <c r="M107" s="21"/>
      <c r="N107" s="21"/>
    </row>
    <row r="108" spans="1:14" x14ac:dyDescent="0.25">
      <c r="A108" s="18">
        <f t="shared" ref="A108" si="9">A107+1</f>
        <v>604</v>
      </c>
      <c r="B108" s="18" t="s">
        <v>199</v>
      </c>
      <c r="C108" s="27" t="s">
        <v>494</v>
      </c>
      <c r="D108" s="27" t="s">
        <v>506</v>
      </c>
      <c r="E108" s="32" t="b">
        <v>1</v>
      </c>
      <c r="F108" s="20" t="b">
        <v>1</v>
      </c>
      <c r="G108" s="33"/>
      <c r="H108" s="18" t="s">
        <v>496</v>
      </c>
      <c r="I108" s="21" t="s">
        <v>163</v>
      </c>
      <c r="J108" s="18" t="s">
        <v>507</v>
      </c>
      <c r="K108" s="33"/>
      <c r="L108" s="26"/>
      <c r="M108" s="34"/>
      <c r="N108" s="34"/>
    </row>
    <row r="109" spans="1:14" x14ac:dyDescent="0.25">
      <c r="A109" s="18">
        <f t="shared" ref="A109:A114" si="10">A108+1</f>
        <v>605</v>
      </c>
      <c r="B109" s="18" t="s">
        <v>199</v>
      </c>
      <c r="C109" s="18" t="s">
        <v>509</v>
      </c>
      <c r="D109" s="18" t="s">
        <v>518</v>
      </c>
      <c r="E109" s="29" t="b">
        <v>1</v>
      </c>
      <c r="F109" s="20" t="b">
        <v>1</v>
      </c>
      <c r="G109" s="31"/>
      <c r="H109" s="18" t="s">
        <v>496</v>
      </c>
      <c r="I109" s="21" t="s">
        <v>163</v>
      </c>
      <c r="J109" s="18" t="s">
        <v>519</v>
      </c>
      <c r="K109" s="31"/>
      <c r="L109" s="19"/>
      <c r="M109" s="21"/>
      <c r="N109" s="21"/>
    </row>
    <row r="110" spans="1:14" x14ac:dyDescent="0.25">
      <c r="A110" s="18">
        <f t="shared" si="10"/>
        <v>606</v>
      </c>
      <c r="B110" s="18" t="s">
        <v>199</v>
      </c>
      <c r="C110" s="18" t="s">
        <v>523</v>
      </c>
      <c r="D110" s="18" t="s">
        <v>531</v>
      </c>
      <c r="E110" s="29" t="b">
        <v>1</v>
      </c>
      <c r="F110" s="20" t="b">
        <v>1</v>
      </c>
      <c r="G110" s="31"/>
      <c r="H110" s="18" t="s">
        <v>473</v>
      </c>
      <c r="I110" s="21" t="s">
        <v>163</v>
      </c>
      <c r="J110" s="18" t="s">
        <v>533</v>
      </c>
      <c r="K110" s="31"/>
      <c r="L110" s="19"/>
      <c r="M110" s="21"/>
      <c r="N110" s="21"/>
    </row>
    <row r="111" spans="1:14" x14ac:dyDescent="0.25">
      <c r="A111" s="18">
        <f t="shared" si="10"/>
        <v>607</v>
      </c>
      <c r="B111" s="18" t="s">
        <v>199</v>
      </c>
      <c r="C111" s="18" t="s">
        <v>523</v>
      </c>
      <c r="D111" s="18" t="s">
        <v>532</v>
      </c>
      <c r="E111" s="29" t="b">
        <v>1</v>
      </c>
      <c r="F111" s="20" t="b">
        <v>1</v>
      </c>
      <c r="G111" s="31"/>
      <c r="H111" s="18" t="s">
        <v>473</v>
      </c>
      <c r="I111" s="21" t="s">
        <v>163</v>
      </c>
      <c r="J111" s="18" t="s">
        <v>534</v>
      </c>
      <c r="K111" s="31"/>
      <c r="L111" s="19"/>
      <c r="M111" s="21"/>
      <c r="N111" s="21"/>
    </row>
    <row r="112" spans="1:14" x14ac:dyDescent="0.25">
      <c r="A112" s="18">
        <f t="shared" si="10"/>
        <v>608</v>
      </c>
      <c r="B112" s="18" t="s">
        <v>199</v>
      </c>
      <c r="C112" s="18" t="s">
        <v>221</v>
      </c>
      <c r="D112" s="18" t="s">
        <v>553</v>
      </c>
      <c r="E112" s="29" t="b">
        <v>1</v>
      </c>
      <c r="F112" s="20" t="b">
        <v>1</v>
      </c>
      <c r="G112" s="31"/>
      <c r="H112" s="18" t="s">
        <v>496</v>
      </c>
      <c r="I112" s="21" t="s">
        <v>163</v>
      </c>
      <c r="J112" s="18" t="s">
        <v>554</v>
      </c>
      <c r="K112" s="31"/>
      <c r="L112" s="19"/>
      <c r="M112" s="21"/>
      <c r="N112" s="21"/>
    </row>
    <row r="113" spans="1:14" x14ac:dyDescent="0.25">
      <c r="A113" s="18">
        <f t="shared" si="10"/>
        <v>609</v>
      </c>
      <c r="B113" s="18" t="s">
        <v>199</v>
      </c>
      <c r="C113" s="18" t="s">
        <v>556</v>
      </c>
      <c r="D113" s="18" t="s">
        <v>564</v>
      </c>
      <c r="E113" s="29" t="b">
        <v>1</v>
      </c>
      <c r="F113" s="20" t="b">
        <v>1</v>
      </c>
      <c r="G113" s="31"/>
      <c r="H113" s="18" t="s">
        <v>496</v>
      </c>
      <c r="I113" s="21" t="s">
        <v>163</v>
      </c>
      <c r="J113" s="18" t="s">
        <v>565</v>
      </c>
      <c r="K113" s="31"/>
      <c r="L113" s="19"/>
      <c r="M113" s="21"/>
      <c r="N113" s="21"/>
    </row>
    <row r="114" spans="1:14" x14ac:dyDescent="0.25">
      <c r="A114" s="18">
        <f t="shared" si="10"/>
        <v>610</v>
      </c>
      <c r="B114" s="18" t="s">
        <v>199</v>
      </c>
      <c r="C114" s="18" t="s">
        <v>571</v>
      </c>
      <c r="D114" s="18" t="s">
        <v>582</v>
      </c>
      <c r="E114" s="29" t="b">
        <v>1</v>
      </c>
      <c r="F114" s="20" t="b">
        <v>1</v>
      </c>
      <c r="G114" s="31"/>
      <c r="H114" s="18" t="s">
        <v>407</v>
      </c>
      <c r="I114" s="21" t="s">
        <v>163</v>
      </c>
      <c r="J114" s="18" t="s">
        <v>583</v>
      </c>
      <c r="K114" s="31"/>
      <c r="L114" s="19"/>
      <c r="M114" s="21"/>
      <c r="N114" s="21"/>
    </row>
    <row r="115" spans="1:14" x14ac:dyDescent="0.25">
      <c r="A115" s="18">
        <f t="shared" ref="A115" si="11">A114+1</f>
        <v>611</v>
      </c>
      <c r="B115" s="18" t="s">
        <v>199</v>
      </c>
      <c r="C115" s="18" t="s">
        <v>593</v>
      </c>
      <c r="D115" s="18" t="s">
        <v>605</v>
      </c>
      <c r="E115" s="29" t="b">
        <v>1</v>
      </c>
      <c r="F115" s="20" t="b">
        <v>0</v>
      </c>
      <c r="G115" s="31"/>
      <c r="H115" s="18" t="s">
        <v>496</v>
      </c>
      <c r="I115" s="21" t="s">
        <v>163</v>
      </c>
      <c r="J115" s="18" t="s">
        <v>604</v>
      </c>
      <c r="K115" s="31"/>
      <c r="L115" s="19"/>
      <c r="M115" s="21"/>
      <c r="N115" s="21"/>
    </row>
  </sheetData>
  <conditionalFormatting sqref="H2:H115">
    <cfRule type="containsText" dxfId="4" priority="6" operator="containsText" text="PENDENTE">
      <formula>NOT(ISERROR(SEARCH("PENDENTE",H2)))</formula>
    </cfRule>
    <cfRule type="containsText" dxfId="3" priority="7" operator="containsText" text="LIBERADO">
      <formula>NOT(ISERROR(SEARCH("LIBERADO",H2)))</formula>
    </cfRule>
  </conditionalFormatting>
  <conditionalFormatting sqref="J16 J45 J62 J79 J91 J104">
    <cfRule type="cellIs" dxfId="2" priority="9" operator="equal">
      <formula>"Não"</formula>
    </cfRule>
    <cfRule type="cellIs" dxfId="1" priority="10" operator="equal">
      <formula>"Sim"</formula>
    </cfRule>
  </conditionalFormatting>
  <conditionalFormatting sqref="K2 M2:N2 K3:N115 G63:G64">
    <cfRule type="cellIs" dxfId="0" priority="1" operator="equal">
      <formula>"-"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0D7E597B038341B781F503E9265560" ma:contentTypeVersion="16" ma:contentTypeDescription="Crie um novo documento." ma:contentTypeScope="" ma:versionID="1192bd2b3f445eb0493292b4c83afa15">
  <xsd:schema xmlns:xsd="http://www.w3.org/2001/XMLSchema" xmlns:xs="http://www.w3.org/2001/XMLSchema" xmlns:p="http://schemas.microsoft.com/office/2006/metadata/properties" xmlns:ns2="7fb1febc-b98d-48ed-8377-6b8aa5217b84" xmlns:ns3="c73295b5-9215-4e20-894f-728bee38b3c8" targetNamespace="http://schemas.microsoft.com/office/2006/metadata/properties" ma:root="true" ma:fieldsID="f164f88707fabfed769115c571dfd233" ns2:_="" ns3:_="">
    <xsd:import namespace="7fb1febc-b98d-48ed-8377-6b8aa5217b84"/>
    <xsd:import namespace="c73295b5-9215-4e20-894f-728bee38b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1febc-b98d-48ed-8377-6b8aa5217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8963ce-2ca5-4523-be1f-5ecf4e027d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295b5-9215-4e20-894f-728bee38b3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1ec91a5-66a0-4680-971c-40b9475fafff}" ma:internalName="TaxCatchAll" ma:showField="CatchAllData" ma:web="c73295b5-9215-4e20-894f-728bee38b3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1febc-b98d-48ed-8377-6b8aa5217b84">
      <Terms xmlns="http://schemas.microsoft.com/office/infopath/2007/PartnerControls"/>
    </lcf76f155ced4ddcb4097134ff3c332f>
    <TaxCatchAll xmlns="c73295b5-9215-4e20-894f-728bee38b3c8" xsi:nil="true"/>
  </documentManagement>
</p:properties>
</file>

<file path=customXml/itemProps1.xml><?xml version="1.0" encoding="utf-8"?>
<ds:datastoreItem xmlns:ds="http://schemas.openxmlformats.org/officeDocument/2006/customXml" ds:itemID="{9258F9AE-BFB9-43B6-AE24-674EEA5774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164C26-B9A5-4242-995A-B240F09FFC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1febc-b98d-48ed-8377-6b8aa5217b84"/>
    <ds:schemaRef ds:uri="c73295b5-9215-4e20-894f-728bee38b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6F67A7-3E41-4F47-B1B4-006B838CE6C3}">
  <ds:schemaRefs>
    <ds:schemaRef ds:uri="http://schemas.microsoft.com/office/2006/documentManagement/types"/>
    <ds:schemaRef ds:uri="7fb1febc-b98d-48ed-8377-6b8aa5217b84"/>
    <ds:schemaRef ds:uri="http://schemas.microsoft.com/office/2006/metadata/properties"/>
    <ds:schemaRef ds:uri="http://schemas.openxmlformats.org/package/2006/metadata/core-properties"/>
    <ds:schemaRef ds:uri="c73295b5-9215-4e20-894f-728bee38b3c8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Mapeamento Salas</vt:lpstr>
      <vt:lpstr>Apontamentos RA Obra</vt:lpstr>
      <vt:lpstr>Mapeamento Salas MODELOS</vt:lpstr>
      <vt:lpstr>Mapeamento Modelos As Built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Vianna Küster</dc:creator>
  <cp:keywords/>
  <dc:description/>
  <cp:lastModifiedBy>Renata Vianna Küster</cp:lastModifiedBy>
  <cp:revision/>
  <dcterms:created xsi:type="dcterms:W3CDTF">2025-12-09T17:27:28Z</dcterms:created>
  <dcterms:modified xsi:type="dcterms:W3CDTF">2026-03-12T18:39:12Z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0x0101009A0D7E597B038341B781F503E9265560</vt:lpwstr>
  </property>
  <property fmtid="{D5CDD505-2E9C-101B-9397-08002B2CF9AE}" pid="3" name="MediaServiceImageTags">
    <vt:lpwstr/>
  </property>
</Properties>
</file>