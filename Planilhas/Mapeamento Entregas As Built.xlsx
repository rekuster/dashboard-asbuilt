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215" firstSheet="1" activeTab="1"/>
  </bookViews>
  <sheets>
    <sheet name="Mapeamento Modelos As Built" sheetId="1" r:id="rId1"/>
    <sheet name="Mapeamento Entregas Oc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tc={ECDD58AC-74CA-411C-BFAE-C7BEA625A486}</author>
    <author>tc={C4D8860B-A691-486A-8F16-6B7FA32E2806}</author>
    <author>tc={9BD6C50E-E2C5-4AF6-BCE3-1B024F4CEE59}</author>
    <author>tc={8CACC6E9-9C65-40D7-B409-FE7AEB4B20C9}</author>
    <author>tc={76B1EBCD-B815-48DF-8EBE-4892E816D46F}</author>
    <author>tc={98351C7F-2E4E-42F4-A635-CA7825F57EE2}</author>
  </authors>
  <commentList>
    <comment ref="E1" authorId="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Ordem Augin e Miro</t>
        </r>
      </text>
    </comment>
    <comment ref="D9" authorId="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Avaliar se necessário as built</t>
        </r>
      </text>
    </comment>
    <comment ref="D46" authorId="2">
      <text>
        <r>
          <rPr>
            <sz val="10"/>
            <rFont val="SimSun"/>
            <charset val="134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STECLA ATUALIZOU
</t>
        </r>
      </text>
    </comment>
    <comment ref="D65" authorId="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  </r>
      </text>
    </comment>
    <comment ref="D66" authorId="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  </r>
      </text>
    </comment>
    <comment ref="D81" authorId="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R01 - rever</t>
        </r>
      </text>
    </comment>
  </commentList>
</comments>
</file>

<file path=xl/comments2.xml><?xml version="1.0" encoding="utf-8"?>
<comments xmlns="http://schemas.openxmlformats.org/spreadsheetml/2006/main">
  <authors>
    <author>tc={ECDD58AC-74CA-411C-BFAE-C7BEA625A486}</author>
    <author>tc={C4D8860B-A691-486A-8F16-6B7FA32E2806}</author>
    <author>tc={9BD6C50E-E2C5-4AF6-BCE3-1B024F4CEE59}</author>
    <author>tc={8CACC6E9-9C65-40D7-B409-FE7AEB4B20C9}</author>
    <author>tc={76B1EBCD-B815-48DF-8EBE-4892E816D46F}</author>
    <author>tc={98351C7F-2E4E-42F4-A635-CA7825F57EE2}</author>
  </authors>
  <commentList>
    <comment ref="G1" authorId="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Ordem Augin e Miro</t>
        </r>
      </text>
    </comment>
    <comment ref="F45" authorId="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Avaliar se necessário as built</t>
        </r>
      </text>
    </comment>
    <comment ref="F82" authorId="2">
      <text>
        <r>
          <rPr>
            <sz val="10"/>
            <rFont val="SimSun"/>
            <charset val="134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STECLA ATUALIZOU
</t>
        </r>
      </text>
    </comment>
    <comment ref="F101" authorId="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  </r>
      </text>
    </comment>
    <comment ref="F102" authorId="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  </r>
      </text>
    </comment>
    <comment ref="F117" authorId="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R01 - rever</t>
        </r>
      </text>
    </comment>
  </commentList>
</comments>
</file>

<file path=xl/sharedStrings.xml><?xml version="1.0" encoding="utf-8"?>
<sst xmlns="http://schemas.openxmlformats.org/spreadsheetml/2006/main" count="1274" uniqueCount="411">
  <si>
    <t>Número</t>
  </si>
  <si>
    <t>Edificação</t>
  </si>
  <si>
    <t>Disciplina</t>
  </si>
  <si>
    <t>Modelo Base</t>
  </si>
  <si>
    <t>IFC</t>
  </si>
  <si>
    <t>Revit</t>
  </si>
  <si>
    <t>Descrição do Modelo Base</t>
  </si>
  <si>
    <t>Responsável</t>
  </si>
  <si>
    <t>Entregas Parciais</t>
  </si>
  <si>
    <t>Modelo Final</t>
  </si>
  <si>
    <t>Descrição do Modelo As Built</t>
  </si>
  <si>
    <t>Coluna2</t>
  </si>
  <si>
    <t>Coluna3</t>
  </si>
  <si>
    <t>Coluna1</t>
  </si>
  <si>
    <t>Implantação</t>
  </si>
  <si>
    <t>Arquitetura</t>
  </si>
  <si>
    <t>NEO-23001-PE-00-ARQ-MO-IMPL1-R00</t>
  </si>
  <si>
    <t>Thá / Stecla</t>
  </si>
  <si>
    <t>-</t>
  </si>
  <si>
    <t>NEO-23001-AS-ARQ-001-IMPL1-R00</t>
  </si>
  <si>
    <t>Terraplanagem</t>
  </si>
  <si>
    <t>NEO-23001-PE-01-TER-MO-001-R08</t>
  </si>
  <si>
    <t>NEO-23001-AS-TER-001-IMPL1-R00</t>
  </si>
  <si>
    <t>Pavimentação</t>
  </si>
  <si>
    <t>NEO-23001-PE-01-PAV-MO-002-R10</t>
  </si>
  <si>
    <t>NEO-23001-AS-PAV-001-IMPL1-R00</t>
  </si>
  <si>
    <t>Drenagem</t>
  </si>
  <si>
    <t>NEO-23001-PE-01-DRE-MO-001-R06</t>
  </si>
  <si>
    <t>NEO-23001-AS-DRE-001-IMPL1-R00</t>
  </si>
  <si>
    <t>Estrutura de Concreto</t>
  </si>
  <si>
    <t>NEO-23001-PE-CON-301-ESCADA</t>
  </si>
  <si>
    <t>Estrutura Escadas, Bancos, Coberturas</t>
  </si>
  <si>
    <t>NEO-23001-AS-CON-001-IMPL1-R00</t>
  </si>
  <si>
    <t>NEO-23001-PE-CON-101-CAIXAS-R01</t>
  </si>
  <si>
    <t xml:space="preserve">Estrutura Caixas </t>
  </si>
  <si>
    <t>NEO-23001-PE-CON-501-RESERV_R00</t>
  </si>
  <si>
    <t>Estrutura Base Reservatório</t>
  </si>
  <si>
    <t>1589-POCO-VISITA-NEODENT-EXECUTIVO</t>
  </si>
  <si>
    <t>Estrutura Poço de Visita</t>
  </si>
  <si>
    <t>Estrutura Metálica</t>
  </si>
  <si>
    <t>NEO-23001-PE-00-MET-MO-008-R02</t>
  </si>
  <si>
    <t>Estrutura metálica Cobertura entre Prédios</t>
  </si>
  <si>
    <t>NEO-23001-AS-MET-001-IMPL1-R00</t>
  </si>
  <si>
    <t>Instalações Elétricas</t>
  </si>
  <si>
    <t>NEO.ELE.00-PE-R06</t>
  </si>
  <si>
    <t>Ocle</t>
  </si>
  <si>
    <t>Quinzenal</t>
  </si>
  <si>
    <t>NEO-23001-AS-ELE-001-IMPL1-R00</t>
  </si>
  <si>
    <t>CFTV e Lógica</t>
  </si>
  <si>
    <t>NEO-23001-PE-LOG-001-MOD IMPLANTACAO-R05</t>
  </si>
  <si>
    <t>NEO-23001-AS-LOG-001-IMPL1-R00</t>
  </si>
  <si>
    <t>SPDA</t>
  </si>
  <si>
    <t>NEO-23001-PE-SPD-001-MOD IMP-R01</t>
  </si>
  <si>
    <t>NEO-23001-AS-SPD-001-IMPL1-R00</t>
  </si>
  <si>
    <t>SDAI</t>
  </si>
  <si>
    <t>NEO-23001-PE-SDA-001-MOD IMPLANTAÇÃO-R02</t>
  </si>
  <si>
    <t>NEO-23001-AS-SDA-001-IMPL1-R00</t>
  </si>
  <si>
    <t>Automação</t>
  </si>
  <si>
    <t>NEO-23001-PE-AUT-001-MOD-IMPLANTAÇÃO-R00</t>
  </si>
  <si>
    <t>NEO-23001-AS-AUT-001-IMPL1-R00</t>
  </si>
  <si>
    <t>Prédio Produção</t>
  </si>
  <si>
    <t>NEO-23001-PE-00-ARQ-MO-PROD1-R07</t>
  </si>
  <si>
    <t>NEO-23001-AS-ARQ-001-PROD1-R00</t>
  </si>
  <si>
    <t>Mobiliário</t>
  </si>
  <si>
    <t>NEO-23001-PE-00-ARQ-MF-MOB-R06a</t>
  </si>
  <si>
    <t>NEO-23001-AS-MOB-001-PROD1-R00</t>
  </si>
  <si>
    <t>Fundação</t>
  </si>
  <si>
    <t>SPN-CON-00-PE-000-R03</t>
  </si>
  <si>
    <t>Contenção Prédio Produção</t>
  </si>
  <si>
    <t>NEO-23001-AS-FUN-001-PROD1-R00</t>
  </si>
  <si>
    <t>NEO-23001-PE-CON-201-DOCA_R01</t>
  </si>
  <si>
    <t>Estrutura Doca</t>
  </si>
  <si>
    <t>NEO-23001-AS-CON-001-PROD1-R00</t>
  </si>
  <si>
    <t>NEO-23001-PE-CON-001-EST CON REPOSICIONADO-R00</t>
  </si>
  <si>
    <t>Modelo de Projeto</t>
  </si>
  <si>
    <t>NEO-23001-PE-00-MET-MO-001-R14</t>
  </si>
  <si>
    <t>NEO-23001-AS-MET-001-PROD1-R00</t>
  </si>
  <si>
    <t>NEO-23001-PE-00-MET-MO-006-R00</t>
  </si>
  <si>
    <t>Passarelas para instalações</t>
  </si>
  <si>
    <t>NEO-23001-PE-ELE-001-MOD PRODUCAO-R08</t>
  </si>
  <si>
    <t>Sim</t>
  </si>
  <si>
    <t>NEO-23001-AS-ELE-001-PROD1-R00</t>
  </si>
  <si>
    <t>NEO-23001-PE-LOG-001-MOD PRODUCAO-R03</t>
  </si>
  <si>
    <t>NEO-23001-AS-LOG-001-PROD1-R00</t>
  </si>
  <si>
    <t>NEO-23001-EX-EPF-001-PASSARELA-R00_REPOSICIONADO</t>
  </si>
  <si>
    <t>NEO-23001-AS-MET-002-PROD1-R00</t>
  </si>
  <si>
    <t>Instalações Hidrossanitárias</t>
  </si>
  <si>
    <t>NEO-23001-PE-16-HID-MO-001-R22</t>
  </si>
  <si>
    <t>Esgoto</t>
  </si>
  <si>
    <t>NEO-23001-AS-HID-001-PROD1-R00</t>
  </si>
  <si>
    <t>NEO-23001-PE-16-HID-MO-002-R17</t>
  </si>
  <si>
    <t>Agua Fria</t>
  </si>
  <si>
    <t>NEO-23001-AS-HID-002-PROD1-R00</t>
  </si>
  <si>
    <t>PCI</t>
  </si>
  <si>
    <t>NEO-23001-PE-16-PCI-MO-001-R16</t>
  </si>
  <si>
    <t>Hidrantes e Sinalização</t>
  </si>
  <si>
    <t>NEO-23001-AS-PCI-001-PROD1-R00</t>
  </si>
  <si>
    <t>NEO-23001-PE-16-PCI-MO-002-R17</t>
  </si>
  <si>
    <t>Sprinklers</t>
  </si>
  <si>
    <t>NEO-23001-AS-PCI-002-PROD1-R00</t>
  </si>
  <si>
    <t>Climatização</t>
  </si>
  <si>
    <t>NEO-23001-PE-CLI-000-R20</t>
  </si>
  <si>
    <t>NEO-23001-AS-CLI-001-PROD1-R00</t>
  </si>
  <si>
    <t>NEO-23001-PE-29-ARQ-MO-000-R04</t>
  </si>
  <si>
    <t>Sala Limpa</t>
  </si>
  <si>
    <t>NEO-23001-PE-29-CLI-MO-000-R06</t>
  </si>
  <si>
    <t>NEO-23001-AS-CLI-002-PROD1-R00</t>
  </si>
  <si>
    <t>NEO-23001-PE-29-ELE-MO-000-R03</t>
  </si>
  <si>
    <t>Piso de Concreto</t>
  </si>
  <si>
    <t>SPN.PIS.02.PE.001.R02-Pav. Térreo</t>
  </si>
  <si>
    <t>NEO-23001-AS-PIS-001-PROD1 TER-R00</t>
  </si>
  <si>
    <t>SPN.PIS.02.PE.002.R02-2º Pavimento</t>
  </si>
  <si>
    <t>NEO-23001-AS-PIS-002-PROD1 2PAV-R00</t>
  </si>
  <si>
    <t>Utilidades</t>
  </si>
  <si>
    <t>NEO-23001-PE-17-UTI-MO-001-R25</t>
  </si>
  <si>
    <t>NEO-23001-AS-UTI-001-PROD1-R00</t>
  </si>
  <si>
    <t>Lavagem de Gases</t>
  </si>
  <si>
    <t>NEO-23001-PB-LPG-003-LAVADOR DE GASES-R09-E</t>
  </si>
  <si>
    <t>NEO-23001-AS-LPG-001-PROD1-R00</t>
  </si>
  <si>
    <t>NEO-23001-PE-SPD-001-MOD PRODUCAO-R02</t>
  </si>
  <si>
    <t>NEO-23001-AS-SPD-001-PROD1-R00</t>
  </si>
  <si>
    <t>Rede de Químicos</t>
  </si>
  <si>
    <t>SEA.MEC.01.3D-001_R00</t>
  </si>
  <si>
    <t>Projeto Hidromecanicos</t>
  </si>
  <si>
    <t>NEO-23001-AS-RQM-001-PROD1-R00</t>
  </si>
  <si>
    <t>Civil</t>
  </si>
  <si>
    <t>Modelo Civil</t>
  </si>
  <si>
    <t>NEO-23001-PE-SDA-003-MOD PRODUCAO-R04</t>
  </si>
  <si>
    <t>NEO-23001-AS-SDA-001-PROD1-R00</t>
  </si>
  <si>
    <t>Média Tensão e Barramentos</t>
  </si>
  <si>
    <t>NEO-23001-PE-ELEMT-001-SE-R01</t>
  </si>
  <si>
    <t>NEO-23001-AS-ELEMT-001-PROD1-R00</t>
  </si>
  <si>
    <t>NEO-23001-PE-AUT-002-MOD-PRODUCAO-R02</t>
  </si>
  <si>
    <t>NEO-23001-AS-AUT-001-PROD1-R00</t>
  </si>
  <si>
    <t>Prédio Suporte</t>
  </si>
  <si>
    <t>NEO-23001-PE-00-ARQ-STC-SUPO1-R06</t>
  </si>
  <si>
    <t>NEO-23001-AS-ARQ-001-SUPO1-R00</t>
  </si>
  <si>
    <t>NEO-23001-PE-CON-002-EST CON SUPORTE REPOSICIONADO-R00</t>
  </si>
  <si>
    <t>NEO-23001-AS-CON-001-SUPO1-R00</t>
  </si>
  <si>
    <t>NEO-23001-PE-00-MET-MO-002-R04</t>
  </si>
  <si>
    <t>NEO-23001-AS-MET-001-SUPO1-R00</t>
  </si>
  <si>
    <t>NEO-23001-PE-ELE-001-MOD SUPORTE-R06</t>
  </si>
  <si>
    <t>NEO-23001-AS-ELE-001-SUPO1-R00</t>
  </si>
  <si>
    <t>NEO-23001-PE-LOG-001-MOD SUPORTE-R06</t>
  </si>
  <si>
    <t>NEO-23001-AS-LOG-001-SUPO1-R00</t>
  </si>
  <si>
    <t>NEO-23001-PE-16-HID-MO-004-R09</t>
  </si>
  <si>
    <t>NEO-23001-AS-HID-001-SUPO1-R00</t>
  </si>
  <si>
    <t>NEO-23001-PE-16-HID-MO-005-R06</t>
  </si>
  <si>
    <t>NEO-23001-AS-HID-002-SUPO1-R00</t>
  </si>
  <si>
    <t>NEO-23001-PE-16-PCI-MO-004-R07</t>
  </si>
  <si>
    <t>NEO-23001-AS-PCI-001-SUPO1-R00</t>
  </si>
  <si>
    <t>NEO-23001-PE-CLI-000-MODELO_IFC-R03</t>
  </si>
  <si>
    <t>NEO-23001-AS-CLI-001-SUPO1-R00</t>
  </si>
  <si>
    <t>SPN.PIS.03.PE.003.R01-Pav.Térreo</t>
  </si>
  <si>
    <t>NEO-23001-AS-PIS-001-SUPO1-R00</t>
  </si>
  <si>
    <t>NEO-23001-PE-17-UTI-MO-004-R01</t>
  </si>
  <si>
    <t>Projeto de Gas - Prédio Suporte</t>
  </si>
  <si>
    <t>NEO-23001-AS-UTI-001-SUPO1-R00</t>
  </si>
  <si>
    <t>NEO-23001-PE-SPD-001-MOD SUPORTE-R01</t>
  </si>
  <si>
    <t>NEO-23001-AS-SPD-001-SUPO1-R00</t>
  </si>
  <si>
    <t>NEO-23001-PE-SDA-004-MOD SUPORTE-R03</t>
  </si>
  <si>
    <t>NEO-23001-AS-SDA-001-SUPO1-R00</t>
  </si>
  <si>
    <t>Audio e Video</t>
  </si>
  <si>
    <t>NEO-23001-PE-AVA-001-BIM-R08</t>
  </si>
  <si>
    <t>NEO-23001-AS-AVA-001-SUPO1-R00</t>
  </si>
  <si>
    <t>NEO-23001-PE-AUT-003-MOD-SUPORTE-R00</t>
  </si>
  <si>
    <t>NEO-23001-AS-AUT-001-SUPO1-R00</t>
  </si>
  <si>
    <t>Câmara Fria</t>
  </si>
  <si>
    <t>NEO-23001-PE-CFI-000-MODELO_RVT-R03</t>
  </si>
  <si>
    <t>NEO-23001-AS-CFI-001-SUPO1-R00</t>
  </si>
  <si>
    <t>Central de Utilidades</t>
  </si>
  <si>
    <t>NEO-23001-PE-00-ARQ-MO-CUE1-R03a</t>
  </si>
  <si>
    <t>Arquitetura da Central de Utilidades</t>
  </si>
  <si>
    <t>NEO-23001-AS-ARQ-001-CUE1-R00</t>
  </si>
  <si>
    <t>NEO-23001-PE-00-ARQ-MO-PUE1-R00a</t>
  </si>
  <si>
    <t>Arquitetura do Pátio de Utilidades</t>
  </si>
  <si>
    <t>NEO-23001-AS-ARQ-001-PUE1-R00</t>
  </si>
  <si>
    <t>NEO-23001-PE-CON-200-MOD-R01</t>
  </si>
  <si>
    <t>Estrutura Central de Vapor</t>
  </si>
  <si>
    <t>NEO-23001-AS-CON-001-PUE1-R00</t>
  </si>
  <si>
    <t>NEO-23001-PE-500-CON-MO-CUE1-R01</t>
  </si>
  <si>
    <t>Estrutura Subestação 03</t>
  </si>
  <si>
    <t>NEO-23001-EX-EPF-050-BIM-R00</t>
  </si>
  <si>
    <t>Estrutura Central de Utilidades</t>
  </si>
  <si>
    <t>NEO-23001-AS-CON-001-CUE1-R00</t>
  </si>
  <si>
    <t>NEO-23001-PE-00-MET-MO-003-R03</t>
  </si>
  <si>
    <t>Modelo de Projeto - Telhado Central de Utilidades</t>
  </si>
  <si>
    <t>NEO-23001-AS-MET-001-CUE1-R00</t>
  </si>
  <si>
    <t>NEO-23001-PE-00-MET-MO-031-R02</t>
  </si>
  <si>
    <t>Modelo de Projeto - Mezanino Central de Vapor</t>
  </si>
  <si>
    <t>NEO-23001-AS-MET-001-PUE1-R00</t>
  </si>
  <si>
    <t>NEO-23001-PE-ELE-001-MOD UTILIDADES-R04</t>
  </si>
  <si>
    <t>NEO-23001-AS-ELE-001-CUE1-R00</t>
  </si>
  <si>
    <t>NEO-23001-PE-TEL-001-MOD UTILIDADES-R00</t>
  </si>
  <si>
    <t>NEO-23001-AS-LOG-001-CUE1-R00</t>
  </si>
  <si>
    <t>NEO-23001-PE-16-HID-MO-003-R05</t>
  </si>
  <si>
    <t>NEO-23001-AS-HID-001-CUE1-R00</t>
  </si>
  <si>
    <t>NEO-23001-PE-16-PCI-MO-003-R04</t>
  </si>
  <si>
    <t>NEO-23001-AS-PCI-001-CUE1-R00</t>
  </si>
  <si>
    <t>NEO-23001-PE-CLI-000-R00</t>
  </si>
  <si>
    <t>NEO-23001-AS-CLI-001-CUE1-R00</t>
  </si>
  <si>
    <t>SPN.PIS.05.PE.004.R01-Pav.Térreo</t>
  </si>
  <si>
    <t>NEO-23001-AS-PIS-001-CUE1-R00</t>
  </si>
  <si>
    <t>NEO.SPDA.04-PE.001-R01-MOD</t>
  </si>
  <si>
    <t>NEO-23001-AS-SPD-001-CUE1-R00</t>
  </si>
  <si>
    <t>NEO-23001-PE-SDA-006-MOD UTILIDADES-R02</t>
  </si>
  <si>
    <t>NEO-23001-AS-SDA-001-CUE1-R00</t>
  </si>
  <si>
    <t>NEO-23001-PE-AUT-005-MOD-UTILIDADES-R00</t>
  </si>
  <si>
    <t>NEO-23001-AS-AUT-001-CUE1-R00</t>
  </si>
  <si>
    <t>Portaria</t>
  </si>
  <si>
    <t>NEO-23001-PE-00-ARQ-MO-PORT1-R00</t>
  </si>
  <si>
    <t>NEO-23001-AS-ARQ-001-PORT1-R00</t>
  </si>
  <si>
    <t>NEO-23001-PE-CON-106-IFC-R02</t>
  </si>
  <si>
    <t>NEO-23001-AS-CON-001-PORT1-R00</t>
  </si>
  <si>
    <t>NEO-23001-PE-00-MET-MO-004-R02</t>
  </si>
  <si>
    <t>NEO-23001-AS-MET-001-PORT1-R00</t>
  </si>
  <si>
    <t>NEO-23001-PE-ELE-001-MOD PORTARIA-R01</t>
  </si>
  <si>
    <t>NEO-23001-AS-ELE-001-PORT1-R00</t>
  </si>
  <si>
    <t>NEO-23001-PE-TEL-001-MOD PORTARIA-R03</t>
  </si>
  <si>
    <t>NEO-23001-AS-LOG-001-PORT1-R00</t>
  </si>
  <si>
    <t>NEO-23001-PE-00-HID-MO-PORT1-R00</t>
  </si>
  <si>
    <t>NEO-23001-AS-HID-001-PORT1-R00</t>
  </si>
  <si>
    <t>NEO-23001-PE-CLI-000-MODELO_IFC-R00</t>
  </si>
  <si>
    <t>NEO-23001-AS-CLI-001-PORT1-R00</t>
  </si>
  <si>
    <t>SPN.PIS.01.PE.005.R02-Pav.Térreo</t>
  </si>
  <si>
    <t>NEO-23001-AS-PIS-001-PORT1-R00</t>
  </si>
  <si>
    <t>NEO-23001-SPDA-006-MOD-POR-R00</t>
  </si>
  <si>
    <t>NEO-23001-AS-SPD-001-PORT1-R00</t>
  </si>
  <si>
    <t>NEO-23001-PE-SDA-005-MOD PORTARIA-R02</t>
  </si>
  <si>
    <t>NEO-23001-AS-SDA-001-PORT1-R00</t>
  </si>
  <si>
    <t>NEO-23001-PE-AUT-004-MOD-PORTARIA-R00</t>
  </si>
  <si>
    <t>NEO-23001-AS-AUT-001-PORT1-R00</t>
  </si>
  <si>
    <t>ETE</t>
  </si>
  <si>
    <t>NEO-23001-PE-00-ARQ-MO-ETE1-R02</t>
  </si>
  <si>
    <t>AeB</t>
  </si>
  <si>
    <t>NEO-23001-AS-ARQ-001-ETE1-R00</t>
  </si>
  <si>
    <t>367 (ETE)-BIM-R00</t>
  </si>
  <si>
    <t>NEO-23001-AS-CON-001-ETE1-R00</t>
  </si>
  <si>
    <t>Rede Hidráulica</t>
  </si>
  <si>
    <t>NEO-23001-PE-HID-001-INFRA-R02</t>
  </si>
  <si>
    <t>NEO-23001-AS-HID-001-ETE1-R00</t>
  </si>
  <si>
    <t>NEO-23001-PE-ELE-001-ELÉTRICO-R03</t>
  </si>
  <si>
    <t>NEO-23001-AS-ELE-001-ETE1-R00</t>
  </si>
  <si>
    <t>NEO-23001-PE-ELE-002-IL_TOM-R01</t>
  </si>
  <si>
    <t>Elétrica - Iluminação e Tomadas</t>
  </si>
  <si>
    <t>NEO-23001-AS-ELE-002-ETE1-R00</t>
  </si>
  <si>
    <t>NEO-23001-PE-ELE-003-DADOS-R01</t>
  </si>
  <si>
    <t>NEO-23001-AS-LOG-001-ETE1-R00</t>
  </si>
  <si>
    <t>NEO-23001-PE-ELE-004-SPDA-R01</t>
  </si>
  <si>
    <t>NEO-23001-AS-SPD-001-ETE1-R00</t>
  </si>
  <si>
    <t>NEO-23001-PE-MET-001-PIPE RACK-R03</t>
  </si>
  <si>
    <t>NEO-23001-AS-MET-001-ETE1-R00</t>
  </si>
  <si>
    <t>NEO-23001-PE-DRE-001-INFRA-R00</t>
  </si>
  <si>
    <t>NEO-23001-AS-DRE-001-ETE1-R00</t>
  </si>
  <si>
    <t>NEO-23001-PE-PAV-001-MODELO-R00</t>
  </si>
  <si>
    <t>NEO-23001-AS-PAV-001-ETE1-R00</t>
  </si>
  <si>
    <t>NEO-23001-PE-PCI-001-INFRA-R01</t>
  </si>
  <si>
    <t>NEO-23001-AS-PCI-001-ETE1-R00</t>
  </si>
  <si>
    <t>NEO-23001-PE-MEC-001-INFRA-R01</t>
  </si>
  <si>
    <t>NEO-23001-AS-CLI-001-ETE1-R00</t>
  </si>
  <si>
    <t>Sede Recreativa</t>
  </si>
  <si>
    <t>NEO-23001-PE-00-ARQ-MO-SEDE1-R00</t>
  </si>
  <si>
    <t>NEO-23001-AS-ARQ-001-SEDE1-R00</t>
  </si>
  <si>
    <t>NEO-23001-PE-CON-500-IFC-R01</t>
  </si>
  <si>
    <t>NEO-23001-AS-CON-001-SEDE1-R00</t>
  </si>
  <si>
    <t>NEO-23001-PE-00-MET-MO-007-R00</t>
  </si>
  <si>
    <t>NEO-23001-AS-MET-001-SEDE1-R00</t>
  </si>
  <si>
    <t>NEO-23001-PE-ELE-001-MOD RECREACAO-R00</t>
  </si>
  <si>
    <t>NEO-23001-AS-ELE-001-SEDE1-R00</t>
  </si>
  <si>
    <t>NEO-23001-PE-TEL-001-MOD RECREACAO-R00</t>
  </si>
  <si>
    <t>NEO-23001-AS-LOG-001-SEDE1-R00</t>
  </si>
  <si>
    <t>NEO-23001-PE-00-HID-MO-SEDE1-R01</t>
  </si>
  <si>
    <t>NEO-23001-AS-HID-001-SEDE1-R00</t>
  </si>
  <si>
    <t>NEO-23001-PE-01-HID-MO-SEDE1-R03</t>
  </si>
  <si>
    <t>NEO-23001-AS-HID-002-SEDE1-R00</t>
  </si>
  <si>
    <t>NEO-23001-PE-00-PCI-MO-SEDE1-R02</t>
  </si>
  <si>
    <t>NEO-23001-AS-PCI-001-SEDE1-R00</t>
  </si>
  <si>
    <t>NEO-23001-PE-CLI-000-MODELO_IFC-R01</t>
  </si>
  <si>
    <t>NEO-23001-AS-CLI-001-SEDE1-R00</t>
  </si>
  <si>
    <t>SPN.PIS.04.PE.008.R00-Pav.Térreo</t>
  </si>
  <si>
    <t>NEO-23001-AS-PIS-001-SEDE1-R00</t>
  </si>
  <si>
    <t>NEO-23001-SPDA-005-MOD-REC-R00</t>
  </si>
  <si>
    <t>NEO-23001-AS-SPD-001-SEDE1-R00</t>
  </si>
  <si>
    <t>Data</t>
  </si>
  <si>
    <t>Entrega</t>
  </si>
  <si>
    <t>Arquivo Entregue</t>
  </si>
  <si>
    <t>Formato</t>
  </si>
  <si>
    <t>Modelo?</t>
  </si>
  <si>
    <t>Column3</t>
  </si>
  <si>
    <t>Column4</t>
  </si>
  <si>
    <t>Column5</t>
  </si>
  <si>
    <t>Column6</t>
  </si>
  <si>
    <t>001. SM 17 - 24.04.2025</t>
  </si>
  <si>
    <t>NEO-23001-AB-ELE-001-MOD PRODUCAO-R03</t>
  </si>
  <si>
    <t>rvt</t>
  </si>
  <si>
    <t>NEO-23001-PE-ELE-001-MOD PRODUCAO-R03-Folha - 002 - NEO-23001-PE-ELE-002-ALI_TER-R09</t>
  </si>
  <si>
    <t>dwg</t>
  </si>
  <si>
    <t>NEO-23001-PE-ELE-001-MOD PRODUCAO-R03-Folha - 003 - NEO-23001-PE-ELE-003-ALI_2PA-R04</t>
  </si>
  <si>
    <t>NEO-23001-PE-ELE-001-MOD PRODUCAO-R03-Folha - 004 - NEO-23001-PE-ELE-004-ALI_2PA-R06</t>
  </si>
  <si>
    <t>NEO-23001-PE-ELE-001-MOD PRODUCAO-R03-Folha - 005 - NEO-23001-PE-ELE-005-ALI_2PA-R04</t>
  </si>
  <si>
    <t>NEO-23001-PE-ELE-001-MOD PRODUCAO-R03-Folha - 006 - NEO-23001-PE-ELE-006-ALI_3PA-R04</t>
  </si>
  <si>
    <t>NEO-23001-PE-ELE-001-MOD PRODUCAO-R03-Folha - 007 - NEO-23001-PE-ELE-007-ALI_3PA-R03</t>
  </si>
  <si>
    <t>NEO-23001-PE-ELE-001-MOD PRODUCAO-R03-Folha - 008 - NEO-23001-PE-ELE-008-ALI_3PA-R03</t>
  </si>
  <si>
    <t>NEO-23001-PE-ELE-001-MOD PRODUCAO-R03-Folha - 009 - NEO-23001-PE-ELE-009-ALI_4PA-R05</t>
  </si>
  <si>
    <t>NEO-23001-PE-ELE-001-MOD PRODUCAO-R03-Folha - 010 - NEO-23001-PE-ELE-010-ALI_4PA-R04</t>
  </si>
  <si>
    <t>NEO-23001-PE-ELE-001-MOD PRODUCAO-R03-Folha - 011 - NEO-23001-PE-ELE-011-ALI_4PA-R05</t>
  </si>
  <si>
    <t>NEO-23001-PE-ELE-001-MOD PRODUCAO-R03-Folha - 012 - NEO-23001-PE-ELE-012-ILU_TER-R08</t>
  </si>
  <si>
    <t>NEO-23001-PE-ELE-001-MOD PRODUCAO-R03-Folha - 013 - NEO-23001-PE-ELE-013-ILU_2PA-R05</t>
  </si>
  <si>
    <t>NEO-23001-PE-ELE-001-MOD PRODUCAO-R03-Folha - 014 - NEO-23001-PE-ELE-014-ILU_2PA-R04</t>
  </si>
  <si>
    <t>NEO-23001-PE-ELE-001-MOD PRODUCAO-R03-Folha - 015 - NEO-23001-PE-ELE-015-ILU_2PA-R05</t>
  </si>
  <si>
    <t>NEO-23001-PE-ELE-001-MOD PRODUCAO-R03-Folha - 016 - NEO-23001-PE-ELE-016-ILU_3PA-R05</t>
  </si>
  <si>
    <t>NEO-23001-PE-ELE-001-MOD PRODUCAO-R03-Folha - 017 - NEO-23001-PE-ELE-017-ILU_3PA-R05</t>
  </si>
  <si>
    <t>NEO-23001-PE-ELE-001-MOD PRODUCAO-R03-Folha - 018 - NEO-23001-PE-ELE-018-ILU_3PA-R05</t>
  </si>
  <si>
    <t>NEO-23001-PE-ELE-001-MOD PRODUCAO-R03-Folha - 019 - NEO-23001-PE-ELE-019-ILU_4PA-R05</t>
  </si>
  <si>
    <t>NEO-23001-PE-ELE-001-MOD PRODUCAO-R03-Folha - 020 - NEO-23001-PE-ELE-020-ILU_4PA-R05</t>
  </si>
  <si>
    <t>NEO-23001-PE-ELE-001-MOD PRODUCAO-R03-Folha - 021 - NEO-23001-PE-ELE-021-ILU_4PA-R05</t>
  </si>
  <si>
    <t>NEO-23001-PE-ELE-002-ALI_TER-R09</t>
  </si>
  <si>
    <t>pdf</t>
  </si>
  <si>
    <t>NEO-23001-PE-ELE-003-ALI_2PA-R04</t>
  </si>
  <si>
    <t>NEO-23001-PE-ELE-004-ALI_2PA-R06</t>
  </si>
  <si>
    <t>NEO-23001-PE-ELE-005-ALI_2PA-R04</t>
  </si>
  <si>
    <t>NEO-23001-PE-ELE-006-ALI_3PA-R04</t>
  </si>
  <si>
    <t>NEO-23001-PE-ELE-007-ALI_3PA-R03</t>
  </si>
  <si>
    <t>NEO-23001-PE-ELE-008-ALI_3PA-R03</t>
  </si>
  <si>
    <t>NEO-23001-PE-ELE-009-ALI_4PA-R05</t>
  </si>
  <si>
    <t>NEO-23001-PE-ELE-010-ALI_4PA-R04</t>
  </si>
  <si>
    <t>NEO-23001-PE-ELE-011-ALI_4PA-R05</t>
  </si>
  <si>
    <t>NEO-23001-PE-ELE-012-ILU_TER-R08</t>
  </si>
  <si>
    <t>NEO-23001-PE-ELE-013-ILU_2PA-R05</t>
  </si>
  <si>
    <t>NEO-23001-PE-ELE-014-ILU_2PA-R04</t>
  </si>
  <si>
    <t>NEO-23001-PE-ELE-015-ILU_2PA-R05</t>
  </si>
  <si>
    <t>NEO-23001-PE-ELE-016-ILU_3PA-R05</t>
  </si>
  <si>
    <t>NEO-23001-PE-ELE-017-ILU_3PA-R05</t>
  </si>
  <si>
    <t>NEO-23001-PE-ELE-018-ILU_3PA-R05</t>
  </si>
  <si>
    <t>NEO-23001-PE-ELE-019-ILU_4PA-R05</t>
  </si>
  <si>
    <t>NEO-23001-PE-ELE-020-ILU_4PA-R05</t>
  </si>
  <si>
    <t>NEO-23001-PE-ELE-021-ILU_4PA-R05</t>
  </si>
  <si>
    <t>NEO-23001-AB-LOG-001-MOD PRODUCAO-R00</t>
  </si>
  <si>
    <t>NEO-23001-PE-02-ELE-001-TEL_TER-R03</t>
  </si>
  <si>
    <t>NEO-23001-PE-02-ELE-003-TEL_2PV-R03</t>
  </si>
  <si>
    <t>NEO-23001-PE-02-ELE-004-TEL_2PV-R03</t>
  </si>
  <si>
    <t>NEO-23001-PE-02-ELE-005-TEL_2PV-R03</t>
  </si>
  <si>
    <t>NEO-23001-PE-02-ELE-006-TEL_3PV-R03</t>
  </si>
  <si>
    <t>NEO-23001-PE-02-ELE-007-TEL_3PV-R03</t>
  </si>
  <si>
    <t>NEO-23001-PE-02-ELE-008-TEL_4PV-R03</t>
  </si>
  <si>
    <t>NEO-23001-PE-02-ELE-009-TEL_4PV-R03</t>
  </si>
  <si>
    <t>NEO-23001-PE-02-ELE-010-TEL_4PV-R03</t>
  </si>
  <si>
    <t>NEO-23001-PE-LOG-001-MOD PRODUCAO-R00-Folha - 001 - NEO-23001-PE-02-ELE-001-TEL_TER-R03</t>
  </si>
  <si>
    <t>NEO-23001-PE-LOG-001-MOD PRODUCAO-R00-Folha - 002 - NEO-23001-PE-02-ELE-005-TEL_2PV-R03</t>
  </si>
  <si>
    <t>NEO-23001-PE-LOG-001-MOD PRODUCAO-R00-Folha - 003 - NEO-23001-PE-02-ELE-003-TEL_2PV-R03</t>
  </si>
  <si>
    <t>NEO-23001-PE-LOG-001-MOD PRODUCAO-R00-Folha - 004 - NEO-23001-PE-02-ELE-004-TEL_2PV-R03</t>
  </si>
  <si>
    <t>NEO-23001-PE-LOG-001-MOD PRODUCAO-R00-Folha - 005 - NEO-23001-PE-02-ELE-005-TEL_3PV-R03</t>
  </si>
  <si>
    <t>NEO-23001-PE-LOG-001-MOD PRODUCAO-R00-Folha - 006 - NEO-23001-PE-02-ELE-006-TEL_3PV-R03</t>
  </si>
  <si>
    <t>NEO-23001-PE-LOG-001-MOD PRODUCAO-R00-Folha - 007 - NEO-23001-PE-02-ELE-007-TEL_3PV-R03</t>
  </si>
  <si>
    <t>NEO-23001-PE-LOG-001-MOD PRODUCAO-R00-Folha - 008 - NEO-23001-PE-02-ELE-008-TEL_4PV-R03</t>
  </si>
  <si>
    <t>NEO-23001-PE-LOG-001-MOD PRODUCAO-R00-Folha - 009 - NEO-23001-PE-02-ELE-009-TEL_4PV-R03</t>
  </si>
  <si>
    <t>NEO-23001-PE-LOG-001-MOD PRODUCAO-R00-Folha - 010 - NEO-23001-PE-02-ELE-010-TEL_4PV-R03</t>
  </si>
  <si>
    <t>NEO-23001-PE-LOG-001-MOD PRODUCAO-R00-Planta de piso - 00- TÉRREO - SETOR A</t>
  </si>
  <si>
    <t>NEO-23001-PE-16-PCI-DE-001</t>
  </si>
  <si>
    <t>NEO-23001-PE-16-PCI-DE-002</t>
  </si>
  <si>
    <t>NEO-23001-PE-16-PCI-DE-003</t>
  </si>
  <si>
    <t>NEO-23001-PE-16-PCI-DE-004</t>
  </si>
  <si>
    <t>NEO-23001-PE-16-PCI-DE-005</t>
  </si>
  <si>
    <t>NEO-23001-PE-16-PCI-DE-006</t>
  </si>
  <si>
    <t>NEO-23001-PE-16-PCI-DE-007</t>
  </si>
  <si>
    <t>NEO-23001-PE-16-PCI-DE-008</t>
  </si>
  <si>
    <t>NEO-23001-PE-16-PCI-DE-009</t>
  </si>
  <si>
    <t>NEO-23001-PE-16-PCI-DE-010</t>
  </si>
  <si>
    <t>NEO-23001-PE-16-PCI-DE-011</t>
  </si>
  <si>
    <t>NEO-23001-PE-16-PCI-DE-012</t>
  </si>
  <si>
    <t>NEO-23001-PE-16-PCI-DE-013</t>
  </si>
  <si>
    <t>NEO-23001-PE-16-PCI-DE-014</t>
  </si>
  <si>
    <t>NEO-23001-PE-16-PCI-DE-015</t>
  </si>
  <si>
    <t>NEO-23001-PE-16-PCI-DE-016</t>
  </si>
  <si>
    <t>NEO-23001-PE-16-PCI-DE-017</t>
  </si>
  <si>
    <t>NEO-23001-PE-16-PCI-DE-018</t>
  </si>
  <si>
    <t>NEO-23001-PE-16-PCI-DE-019</t>
  </si>
  <si>
    <t>NEO-23001-PE-16-PCI-DE-020</t>
  </si>
  <si>
    <t>NEO-23001-PE-16-PCI-DE-021</t>
  </si>
  <si>
    <t>NEO-23001-PE-16-PCI-DE-022</t>
  </si>
  <si>
    <t>NEO-23001-PE-16-PCI-DE-023</t>
  </si>
  <si>
    <t>NEO-23001-PE-16-PCI-DE-024</t>
  </si>
  <si>
    <t>NEO-23001-PE-16-PCI-DE-025</t>
  </si>
  <si>
    <t>NEO-23001-PE-16-PCI-DE-026</t>
  </si>
  <si>
    <t>NEO-23001-PE-PCI-MO-002-SPRINKLER-R16-Folha - 01 - NEO-23001-PE-16-PCI-DE-001</t>
  </si>
  <si>
    <t>NEO-23001-PE-PCI-MO-002-SPRINKLER-R16-Folha - 02 - NEO-23001-PE-16-PCI-DE-002</t>
  </si>
  <si>
    <t>NEO-23001-PE-PCI-MO-002-SPRINKLER-R16-Folha - 03 - NEO-23001-PE-16-PCI-DE-003</t>
  </si>
  <si>
    <t>NEO-23001-PE-PCI-MO-002-SPRINKLER-R16-Folha - 04 - NEO-23001-PE-16-PCI-DE-004</t>
  </si>
  <si>
    <t>NEO-23001-PE-PCI-MO-002-SPRINKLER-R16-Folha - 05 - NEO-23001-PE-16-PCI-DE-005</t>
  </si>
  <si>
    <t>NEO-23001-PE-PCI-MO-002-SPRINKLER-R16-Folha - 06 - NEO-23001-PE-16-PCI-DE-006</t>
  </si>
  <si>
    <t>NEO-23001-PE-PCI-MO-002-SPRINKLER-R16-Folha - 07 - NEO-23001-PE-16-PCI-DE-007</t>
  </si>
  <si>
    <t>NEO-23001-PE-PCI-MO-002-SPRINKLER-R16-Folha - 08 - NEO-23001-PE-16-PCI-DE-008</t>
  </si>
  <si>
    <t>NEO-23001-PE-PCI-MO-002-SPRINKLER-R16-Folha - 09 - NEO-23001-PE-16-PCI-DE-009</t>
  </si>
  <si>
    <t>NEO-23001-PE-PCI-MO-002-SPRINKLER-R16-Folha - 10 - NEO-23001-PE-16-PCI-DE-010</t>
  </si>
  <si>
    <t>NEO-23001-PE-PCI-MO-002-SPRINKLER-R16-Folha - 11 - NEO-23001-PE-16-PCI-DE-011</t>
  </si>
  <si>
    <t>NEO-23001-PE-PCI-MO-002-SPRINKLER-R16-Folha - 12 - NEO-23001-PE-16-PCI-DE-012</t>
  </si>
  <si>
    <t>NEO-23001-PE-PCI-MO-002-SPRINKLER-R16-Folha - 13 - NEO-23001-PE-16-PCI-DE-013</t>
  </si>
  <si>
    <t>NEO-23001-PE-PCI-MO-002-SPRINKLER-R16-Folha - 14 - NEO-23001-PE-16-PCI-DE-014</t>
  </si>
  <si>
    <t>NEO-23001-PE-PCI-MO-002-SPRINKLER-R16-Folha - 15 - NEO-23001-PE-16-PCI-DE-015</t>
  </si>
  <si>
    <t>NEO-23001-PE-PCI-MO-002-SPRINKLER-R16-Folha - 16 - NEO-23001-PE-16-PCI-DE-016</t>
  </si>
  <si>
    <t>NEO-23001-PE-PCI-MO-002-SPRINKLER-R16-Folha - 17 - NEO-23001-PE-16-PCI-DE-017</t>
  </si>
  <si>
    <t>NEO-23001-PE-PCI-MO-002-SPRINKLER-R16-Folha - 18 - NEO-23001-PE-16-PCI-DE-018</t>
  </si>
  <si>
    <t>NEO-23001-PE-PCI-MO-002-SPRINKLER-R16-Folha - 19 - NEO-23001-PE-16-PCI-DE-019</t>
  </si>
  <si>
    <t>NEO-23001-PE-PCI-MO-002-SPRINKLER-R16-Folha - 20 - NEO-23001-PE-16-PCI-DE-020</t>
  </si>
  <si>
    <t>NEO-23001-PE-PCI-MO-002-SPRINKLER-R16-Folha - 21 - NEO-23001-PE-16-PCI-DE-021</t>
  </si>
  <si>
    <t>NEO-23001-PE-PCI-MO-002-SPRINKLER-R16-Folha - 22 - NEO-23001-PE-16-PCI-DE-022</t>
  </si>
  <si>
    <t>NEO-23001-PE-PCI-MO-002-SPRINKLER-R16-Folha - 23 - NEO-23001-PE-16-PCI-DE-023</t>
  </si>
  <si>
    <t>NEO-23001-PE-PCI-MO-002-SPRINKLER-R16-Folha - 24 - NEO-23001-PE-16-PCI-DE-024</t>
  </si>
  <si>
    <t>NEO-23001-PE-PCI-MO-002-SPRINKLER-R16-Folha - 25 - NEO-23001-PE-16-PCI-DE-025</t>
  </si>
  <si>
    <t>NEO-23001-PE-PCI-MO-002-SPRINKLER-R16-Folha - 26 - NEO-23001-PE-16-PCI-DE-026</t>
  </si>
  <si>
    <t>NEO-23001-PE-PCI-MO-002-SPRINKLER-R16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</si>
</sst>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58" fontId="0" fillId="0" borderId="2" xfId="0" applyNumberFormat="1" applyBorder="1" applyAlignment="1">
      <alignment horizontal="left" vertical="center"/>
    </xf>
    <xf numFmtId="0" fontId="0" fillId="0" borderId="3" xfId="0" applyBorder="1"/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0" borderId="4" xfId="0" applyBorder="1"/>
    <xf numFmtId="58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NumberFormat="1"/>
    <xf numFmtId="0" fontId="3" fillId="0" borderId="2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left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0" formatCode="General"/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58" formatCode="dd/mm/yyyy"/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name val="Aptos Narrow"/>
        <scheme val="none"/>
        <family val="2"/>
        <strike val="0"/>
        <u val="none"/>
        <sz val="11"/>
        <color auto="1"/>
      </font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left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58" formatCode="dd/mm/yyyy"/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58" formatCode="dd/mm/yyyy"/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color rgb="FFD2A000"/>
      </font>
      <fill>
        <patternFill patternType="solid">
          <bgColor rgb="FFFFFFB9"/>
        </patternFill>
      </fill>
    </dxf>
    <dxf>
      <font>
        <color theme="9" tint="-0.499984740745262"/>
      </font>
      <fill>
        <patternFill patternType="solid">
          <bgColor theme="9" tint="0.799981688894314"/>
        </patternFill>
      </fill>
    </dxf>
    <dxf>
      <fill>
        <patternFill patternType="solid">
          <bgColor theme="0" tint="-0.249946592608417"/>
        </patternFill>
      </fill>
    </dxf>
    <dxf>
      <font>
        <color theme="6" tint="-0.249946592608417"/>
      </font>
      <fill>
        <patternFill patternType="solid">
          <bgColor theme="9" tint="0.799981688894314"/>
        </patternFill>
      </fill>
    </dxf>
    <dxf>
      <font>
        <color rgb="FFC00000"/>
      </font>
      <fill>
        <patternFill patternType="solid">
          <bgColor theme="5" tint="0.799981688894314"/>
        </patternFill>
      </fill>
    </dxf>
    <dxf>
      <alignment horizontal="left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fill>
        <patternFill patternType="solid">
          <bgColor theme="0" tint="-0.15"/>
        </patternFill>
      </fill>
    </dxf>
  </dxfs>
  <tableStyles count="1" defaultTableStyle="TableStyleMedium2" defaultPivotStyle="PivotStyleLight16">
    <tableStyle name="Estilo de Tabela 1" pivot="0" count="0" xr9:uid="{0077ADCA-B92E-4FB2-919B-87A322B24F7D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25" displayName="Tabela25" ref="A1:N115" totalsRowShown="0">
  <autoFilter xmlns:etc="http://www.wps.cn/officeDocument/2017/etCustomData" ref="A1:N115" etc:filterBottomFollowUsedRange="0"/>
  <tableColumns count="14">
    <tableColumn id="15" name="Número" dataDxfId="0"/>
    <tableColumn id="3" name="Edificação" dataDxfId="1"/>
    <tableColumn id="1" name="Disciplina" dataDxfId="2"/>
    <tableColumn id="2" name="Modelo Base" dataDxfId="3"/>
    <tableColumn id="13" name="IFC" dataDxfId="4"/>
    <tableColumn id="11" name="Revit" dataDxfId="5"/>
    <tableColumn id="4" name="Descrição do Modelo Base" dataDxfId="6"/>
    <tableColumn id="12" name="Responsável" dataDxfId="7"/>
    <tableColumn id="5" name="Entregas Parciais" dataDxfId="8"/>
    <tableColumn id="6" name="Modelo Final" dataDxfId="9"/>
    <tableColumn id="7" name="Descrição do Modelo As Built" dataDxfId="10"/>
    <tableColumn id="8" name="Coluna2" dataDxfId="11"/>
    <tableColumn id="9" name="Coluna3" dataDxfId="12"/>
    <tableColumn id="10" name="Coluna1" dataDxfId="13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id="2" name="Tabela25_3" displayName="Tabela25_3" ref="A1:O169" totalsRowShown="0">
  <autoFilter xmlns:etc="http://www.wps.cn/officeDocument/2017/etCustomData" ref="A1:O169" etc:filterBottomFollowUsedRange="0"/>
  <tableColumns count="15">
    <tableColumn id="1" name="Número"/>
    <tableColumn id="6" name="Data"/>
    <tableColumn id="2" name="Entrega"/>
    <tableColumn id="15" name="Edificação"/>
    <tableColumn id="3" name="Disciplina"/>
    <tableColumn id="4" name="Arquivo Entregue" dataDxfId="19"/>
    <tableColumn id="5" name="Formato" dataDxfId="20"/>
    <tableColumn id="7" name="Modelo?" dataDxfId="21">
      <calculatedColumnFormula>IF(G2="rvt","Sim","Não")</calculatedColumnFormula>
    </tableColumn>
    <tableColumn id="8" name="Modelo Base" dataDxfId="22">
      <calculatedColumnFormula>IF(H2="Não","-"," ")</calculatedColumnFormula>
    </tableColumn>
    <tableColumn id="9" name="Modelo Final"/>
    <tableColumn id="10" name="Column3"/>
    <tableColumn id="11" name="Column4"/>
    <tableColumn id="12" name="Column5"/>
    <tableColumn id="13" name="Column6"/>
    <tableColumn id="14" name="Coluna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zoomScale="85" zoomScaleNormal="85" workbookViewId="0">
      <selection activeCell="H32" sqref="H32"/>
    </sheetView>
  </sheetViews>
  <sheetFormatPr defaultColWidth="9" defaultRowHeight="14.1"/>
  <cols>
    <col min="1" max="1" width="13.2894736842105" customWidth="1"/>
    <col min="2" max="2" width="19.5701754385965" customWidth="1"/>
    <col min="3" max="3" width="27.140350877193" customWidth="1"/>
    <col min="4" max="4" width="59.140350877193" customWidth="1"/>
    <col min="5" max="5" width="10.5701754385965" customWidth="1"/>
    <col min="6" max="6" width="12.2894736842105" customWidth="1"/>
    <col min="7" max="7" width="45.4298245614035" customWidth="1"/>
    <col min="8" max="9" width="21.2894736842105" customWidth="1"/>
    <col min="10" max="10" width="44.4298245614035" style="2" customWidth="1"/>
    <col min="11" max="11" width="33" customWidth="1"/>
    <col min="12" max="12" width="20.2894736842105" customWidth="1"/>
    <col min="13" max="13" width="36.859649122807" customWidth="1"/>
    <col min="14" max="14" width="56" customWidth="1"/>
  </cols>
  <sheetData>
    <row r="1" ht="3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5">
        <v>1</v>
      </c>
      <c r="B2" s="5" t="s">
        <v>14</v>
      </c>
      <c r="C2" s="5" t="s">
        <v>15</v>
      </c>
      <c r="D2" s="5" t="s">
        <v>16</v>
      </c>
      <c r="E2" s="22" t="b">
        <v>1</v>
      </c>
      <c r="F2" s="22" t="b">
        <v>1</v>
      </c>
      <c r="G2" s="7"/>
      <c r="H2" s="5" t="s">
        <v>17</v>
      </c>
      <c r="I2" s="5" t="s">
        <v>18</v>
      </c>
      <c r="J2" s="5" t="s">
        <v>19</v>
      </c>
      <c r="K2" s="10"/>
      <c r="L2" s="11"/>
      <c r="M2" s="6"/>
      <c r="N2" s="6"/>
    </row>
    <row r="3" spans="1:14">
      <c r="A3" s="5">
        <f>A2+1</f>
        <v>2</v>
      </c>
      <c r="B3" s="5" t="s">
        <v>14</v>
      </c>
      <c r="C3" s="5" t="s">
        <v>20</v>
      </c>
      <c r="D3" s="5" t="s">
        <v>21</v>
      </c>
      <c r="E3" s="22" t="b">
        <v>1</v>
      </c>
      <c r="F3" s="22" t="b">
        <v>0</v>
      </c>
      <c r="G3" s="7"/>
      <c r="H3" s="5" t="s">
        <v>17</v>
      </c>
      <c r="I3" s="6" t="s">
        <v>18</v>
      </c>
      <c r="J3" s="5" t="s">
        <v>22</v>
      </c>
      <c r="K3" s="10"/>
      <c r="L3" s="6"/>
      <c r="M3" s="6"/>
      <c r="N3" s="6"/>
    </row>
    <row r="4" spans="1:14">
      <c r="A4" s="5">
        <f t="shared" ref="A4:A67" si="0">A3+1</f>
        <v>3</v>
      </c>
      <c r="B4" s="5" t="s">
        <v>14</v>
      </c>
      <c r="C4" s="5" t="s">
        <v>23</v>
      </c>
      <c r="D4" s="5" t="s">
        <v>24</v>
      </c>
      <c r="E4" s="22" t="b">
        <v>1</v>
      </c>
      <c r="F4" s="22" t="b">
        <v>0</v>
      </c>
      <c r="G4" s="7"/>
      <c r="H4" s="5" t="s">
        <v>17</v>
      </c>
      <c r="I4" s="6" t="s">
        <v>18</v>
      </c>
      <c r="J4" s="5" t="s">
        <v>25</v>
      </c>
      <c r="K4" s="10"/>
      <c r="L4" s="6"/>
      <c r="M4" s="6"/>
      <c r="N4" s="6"/>
    </row>
    <row r="5" spans="1:14">
      <c r="A5" s="5">
        <f t="shared" si="0"/>
        <v>4</v>
      </c>
      <c r="B5" s="5" t="s">
        <v>14</v>
      </c>
      <c r="C5" s="5" t="s">
        <v>26</v>
      </c>
      <c r="D5" s="5" t="s">
        <v>27</v>
      </c>
      <c r="E5" s="22" t="b">
        <v>1</v>
      </c>
      <c r="F5" s="22" t="b">
        <v>0</v>
      </c>
      <c r="G5" s="7"/>
      <c r="H5" s="5" t="s">
        <v>17</v>
      </c>
      <c r="I5" s="6" t="s">
        <v>18</v>
      </c>
      <c r="J5" s="5" t="s">
        <v>28</v>
      </c>
      <c r="K5" s="10"/>
      <c r="L5" s="6"/>
      <c r="M5" s="6"/>
      <c r="N5" s="6"/>
    </row>
    <row r="6" spans="1:14">
      <c r="A6" s="5">
        <f t="shared" si="0"/>
        <v>5</v>
      </c>
      <c r="B6" s="5" t="s">
        <v>14</v>
      </c>
      <c r="C6" s="5" t="s">
        <v>29</v>
      </c>
      <c r="D6" s="5" t="s">
        <v>30</v>
      </c>
      <c r="E6" s="22" t="b">
        <v>1</v>
      </c>
      <c r="F6" s="22" t="b">
        <v>0</v>
      </c>
      <c r="G6" s="7" t="s">
        <v>31</v>
      </c>
      <c r="H6" s="5" t="s">
        <v>17</v>
      </c>
      <c r="I6" s="6" t="s">
        <v>18</v>
      </c>
      <c r="J6" s="5" t="s">
        <v>32</v>
      </c>
      <c r="K6" s="10"/>
      <c r="L6" s="6"/>
      <c r="M6" s="6"/>
      <c r="N6" s="6"/>
    </row>
    <row r="7" spans="1:14">
      <c r="A7" s="5">
        <f t="shared" si="0"/>
        <v>6</v>
      </c>
      <c r="B7" s="5" t="s">
        <v>14</v>
      </c>
      <c r="C7" s="5" t="s">
        <v>29</v>
      </c>
      <c r="D7" s="5" t="s">
        <v>33</v>
      </c>
      <c r="E7" s="5" t="b">
        <v>1</v>
      </c>
      <c r="F7" s="22" t="b">
        <v>0</v>
      </c>
      <c r="G7" s="7" t="s">
        <v>34</v>
      </c>
      <c r="H7" s="5" t="s">
        <v>17</v>
      </c>
      <c r="I7" s="6" t="s">
        <v>18</v>
      </c>
      <c r="J7" s="5" t="s">
        <v>32</v>
      </c>
      <c r="K7" s="10"/>
      <c r="L7" s="6"/>
      <c r="M7" s="6"/>
      <c r="N7" s="6"/>
    </row>
    <row r="8" spans="1:14">
      <c r="A8" s="5">
        <f t="shared" si="0"/>
        <v>7</v>
      </c>
      <c r="B8" s="5" t="s">
        <v>14</v>
      </c>
      <c r="C8" s="5" t="s">
        <v>29</v>
      </c>
      <c r="D8" s="5" t="s">
        <v>35</v>
      </c>
      <c r="E8" s="5" t="b">
        <v>1</v>
      </c>
      <c r="F8" s="22" t="b">
        <v>0</v>
      </c>
      <c r="G8" s="7" t="s">
        <v>36</v>
      </c>
      <c r="H8" s="5" t="s">
        <v>17</v>
      </c>
      <c r="I8" s="6" t="s">
        <v>18</v>
      </c>
      <c r="J8" s="5" t="s">
        <v>32</v>
      </c>
      <c r="K8" s="10"/>
      <c r="L8" s="6"/>
      <c r="M8" s="6"/>
      <c r="N8" s="6"/>
    </row>
    <row r="9" spans="1:14">
      <c r="A9" s="5">
        <f t="shared" si="0"/>
        <v>8</v>
      </c>
      <c r="B9" s="5" t="s">
        <v>14</v>
      </c>
      <c r="C9" s="5" t="s">
        <v>29</v>
      </c>
      <c r="D9" s="5" t="s">
        <v>37</v>
      </c>
      <c r="E9" s="5" t="b">
        <v>1</v>
      </c>
      <c r="F9" s="22" t="b">
        <v>0</v>
      </c>
      <c r="G9" s="7" t="s">
        <v>38</v>
      </c>
      <c r="H9" s="5" t="s">
        <v>17</v>
      </c>
      <c r="I9" s="6" t="s">
        <v>18</v>
      </c>
      <c r="J9" s="5" t="s">
        <v>32</v>
      </c>
      <c r="K9" s="10"/>
      <c r="L9" s="6"/>
      <c r="M9" s="6"/>
      <c r="N9" s="6"/>
    </row>
    <row r="10" spans="1:14">
      <c r="A10" s="5">
        <f t="shared" si="0"/>
        <v>9</v>
      </c>
      <c r="B10" s="5" t="s">
        <v>14</v>
      </c>
      <c r="C10" s="5" t="s">
        <v>39</v>
      </c>
      <c r="D10" s="5" t="s">
        <v>40</v>
      </c>
      <c r="E10" s="5" t="b">
        <v>1</v>
      </c>
      <c r="F10" s="22" t="b">
        <v>1</v>
      </c>
      <c r="G10" s="7" t="s">
        <v>41</v>
      </c>
      <c r="H10" s="5" t="s">
        <v>17</v>
      </c>
      <c r="I10" s="6" t="s">
        <v>18</v>
      </c>
      <c r="J10" s="5" t="s">
        <v>42</v>
      </c>
      <c r="K10" s="10"/>
      <c r="L10" s="6"/>
      <c r="M10" s="6"/>
      <c r="N10" s="6"/>
    </row>
    <row r="11" spans="1:14">
      <c r="A11" s="5">
        <f t="shared" si="0"/>
        <v>10</v>
      </c>
      <c r="B11" s="5" t="s">
        <v>14</v>
      </c>
      <c r="C11" s="5" t="s">
        <v>43</v>
      </c>
      <c r="D11" s="5" t="s">
        <v>44</v>
      </c>
      <c r="E11" s="5" t="b">
        <v>1</v>
      </c>
      <c r="F11" s="22" t="b">
        <v>1</v>
      </c>
      <c r="G11" s="7"/>
      <c r="H11" s="5" t="s">
        <v>45</v>
      </c>
      <c r="I11" s="6" t="s">
        <v>46</v>
      </c>
      <c r="J11" s="5" t="s">
        <v>47</v>
      </c>
      <c r="K11" s="10"/>
      <c r="L11" s="6"/>
      <c r="M11" s="6"/>
      <c r="N11" s="6"/>
    </row>
    <row r="12" spans="1:14">
      <c r="A12" s="5">
        <f t="shared" si="0"/>
        <v>11</v>
      </c>
      <c r="B12" s="5" t="s">
        <v>14</v>
      </c>
      <c r="C12" s="5" t="s">
        <v>48</v>
      </c>
      <c r="D12" s="5" t="s">
        <v>49</v>
      </c>
      <c r="E12" s="5" t="b">
        <v>1</v>
      </c>
      <c r="F12" s="22" t="b">
        <v>1</v>
      </c>
      <c r="G12" s="7"/>
      <c r="H12" s="5" t="s">
        <v>45</v>
      </c>
      <c r="I12" s="6" t="s">
        <v>46</v>
      </c>
      <c r="J12" s="5" t="s">
        <v>50</v>
      </c>
      <c r="K12" s="10"/>
      <c r="L12" s="6"/>
      <c r="M12" s="6"/>
      <c r="N12" s="6"/>
    </row>
    <row r="13" spans="1:14">
      <c r="A13" s="5">
        <f t="shared" si="0"/>
        <v>12</v>
      </c>
      <c r="B13" s="5" t="s">
        <v>14</v>
      </c>
      <c r="C13" s="5" t="s">
        <v>51</v>
      </c>
      <c r="D13" s="5" t="s">
        <v>52</v>
      </c>
      <c r="E13" s="5" t="b">
        <v>0</v>
      </c>
      <c r="F13" s="22" t="b">
        <v>1</v>
      </c>
      <c r="G13" s="7"/>
      <c r="H13" s="5" t="s">
        <v>45</v>
      </c>
      <c r="I13" s="6" t="s">
        <v>46</v>
      </c>
      <c r="J13" s="5" t="s">
        <v>53</v>
      </c>
      <c r="K13" s="10"/>
      <c r="L13" s="6"/>
      <c r="M13" s="6"/>
      <c r="N13" s="6"/>
    </row>
    <row r="14" spans="1:14">
      <c r="A14" s="5">
        <f t="shared" si="0"/>
        <v>13</v>
      </c>
      <c r="B14" s="5" t="s">
        <v>14</v>
      </c>
      <c r="C14" s="5" t="s">
        <v>54</v>
      </c>
      <c r="D14" s="5" t="s">
        <v>55</v>
      </c>
      <c r="E14" s="5" t="b">
        <v>1</v>
      </c>
      <c r="F14" s="22" t="b">
        <v>1</v>
      </c>
      <c r="G14" s="7"/>
      <c r="H14" s="5" t="s">
        <v>45</v>
      </c>
      <c r="I14" s="6" t="s">
        <v>46</v>
      </c>
      <c r="J14" s="5" t="s">
        <v>56</v>
      </c>
      <c r="K14" s="10"/>
      <c r="L14" s="6"/>
      <c r="M14" s="6"/>
      <c r="N14" s="6"/>
    </row>
    <row r="15" spans="1:14">
      <c r="A15" s="5">
        <f t="shared" si="0"/>
        <v>14</v>
      </c>
      <c r="B15" s="5" t="s">
        <v>14</v>
      </c>
      <c r="C15" s="5" t="s">
        <v>57</v>
      </c>
      <c r="D15" s="5" t="s">
        <v>58</v>
      </c>
      <c r="E15" s="5" t="b">
        <v>1</v>
      </c>
      <c r="F15" s="22" t="b">
        <v>1</v>
      </c>
      <c r="G15" s="7"/>
      <c r="H15" s="5" t="s">
        <v>45</v>
      </c>
      <c r="I15" s="6" t="s">
        <v>46</v>
      </c>
      <c r="J15" s="5" t="s">
        <v>59</v>
      </c>
      <c r="K15" s="10"/>
      <c r="L15" s="6"/>
      <c r="M15" s="6"/>
      <c r="N15" s="6"/>
    </row>
    <row r="16" spans="1:14">
      <c r="A16" s="5"/>
      <c r="B16" s="5"/>
      <c r="C16" s="5"/>
      <c r="D16" s="5"/>
      <c r="E16" s="5" t="b">
        <v>0</v>
      </c>
      <c r="F16" s="22" t="b">
        <v>0</v>
      </c>
      <c r="G16" s="7"/>
      <c r="H16" s="5"/>
      <c r="I16" s="6"/>
      <c r="J16" s="13"/>
      <c r="K16" s="10"/>
      <c r="L16" s="6"/>
      <c r="M16" s="6"/>
      <c r="N16" s="6"/>
    </row>
    <row r="17" spans="1:14">
      <c r="A17" s="5">
        <v>101</v>
      </c>
      <c r="B17" s="5" t="s">
        <v>60</v>
      </c>
      <c r="C17" s="5" t="s">
        <v>15</v>
      </c>
      <c r="D17" s="5" t="s">
        <v>61</v>
      </c>
      <c r="E17" s="22" t="b">
        <v>1</v>
      </c>
      <c r="F17" s="22" t="b">
        <v>1</v>
      </c>
      <c r="G17" s="7"/>
      <c r="H17" s="5" t="s">
        <v>17</v>
      </c>
      <c r="I17" s="6" t="s">
        <v>18</v>
      </c>
      <c r="J17" s="5" t="s">
        <v>62</v>
      </c>
      <c r="K17" s="10"/>
      <c r="L17" s="6"/>
      <c r="M17" s="6"/>
      <c r="N17" s="6"/>
    </row>
    <row r="18" spans="1:14">
      <c r="A18" s="5">
        <f t="shared" si="0"/>
        <v>102</v>
      </c>
      <c r="B18" s="5" t="s">
        <v>60</v>
      </c>
      <c r="C18" s="5" t="s">
        <v>63</v>
      </c>
      <c r="D18" s="5" t="s">
        <v>64</v>
      </c>
      <c r="E18" s="22" t="b">
        <v>1</v>
      </c>
      <c r="F18" s="22" t="b">
        <v>1</v>
      </c>
      <c r="G18" s="7"/>
      <c r="H18" s="5" t="s">
        <v>17</v>
      </c>
      <c r="I18" s="6" t="s">
        <v>18</v>
      </c>
      <c r="J18" s="5" t="s">
        <v>65</v>
      </c>
      <c r="K18" s="10"/>
      <c r="L18" s="6"/>
      <c r="M18" s="6"/>
      <c r="N18" s="6"/>
    </row>
    <row r="19" spans="1:14">
      <c r="A19" s="5">
        <f t="shared" si="0"/>
        <v>103</v>
      </c>
      <c r="B19" s="5" t="s">
        <v>60</v>
      </c>
      <c r="C19" s="5" t="s">
        <v>66</v>
      </c>
      <c r="D19" s="5" t="s">
        <v>67</v>
      </c>
      <c r="E19" s="5" t="b">
        <v>1</v>
      </c>
      <c r="F19" s="22" t="b">
        <v>0</v>
      </c>
      <c r="G19" s="7" t="s">
        <v>68</v>
      </c>
      <c r="H19" s="5" t="s">
        <v>17</v>
      </c>
      <c r="I19" s="6" t="s">
        <v>18</v>
      </c>
      <c r="J19" s="5" t="s">
        <v>69</v>
      </c>
      <c r="K19" s="10"/>
      <c r="L19" s="6"/>
      <c r="M19" s="6"/>
      <c r="N19" s="6"/>
    </row>
    <row r="20" spans="1:14">
      <c r="A20" s="5">
        <f t="shared" si="0"/>
        <v>104</v>
      </c>
      <c r="B20" s="5" t="s">
        <v>60</v>
      </c>
      <c r="C20" s="5" t="s">
        <v>29</v>
      </c>
      <c r="D20" s="5" t="s">
        <v>70</v>
      </c>
      <c r="E20" s="5" t="b">
        <v>1</v>
      </c>
      <c r="F20" s="22" t="b">
        <v>0</v>
      </c>
      <c r="G20" s="7" t="s">
        <v>71</v>
      </c>
      <c r="H20" s="5" t="s">
        <v>17</v>
      </c>
      <c r="I20" s="6" t="s">
        <v>18</v>
      </c>
      <c r="J20" s="5" t="s">
        <v>72</v>
      </c>
      <c r="K20" s="10"/>
      <c r="L20" s="6"/>
      <c r="M20" s="6"/>
      <c r="N20" s="6"/>
    </row>
    <row r="21" spans="1:14">
      <c r="A21" s="5">
        <f t="shared" si="0"/>
        <v>105</v>
      </c>
      <c r="B21" s="5" t="s">
        <v>60</v>
      </c>
      <c r="C21" s="5" t="s">
        <v>29</v>
      </c>
      <c r="D21" s="5" t="s">
        <v>73</v>
      </c>
      <c r="E21" s="5" t="b">
        <v>1</v>
      </c>
      <c r="F21" s="22" t="b">
        <v>1</v>
      </c>
      <c r="G21" s="7" t="s">
        <v>74</v>
      </c>
      <c r="H21" s="5" t="s">
        <v>17</v>
      </c>
      <c r="I21" s="6" t="s">
        <v>18</v>
      </c>
      <c r="J21" s="5" t="s">
        <v>72</v>
      </c>
      <c r="K21" s="10"/>
      <c r="L21" s="6"/>
      <c r="M21" s="6"/>
      <c r="N21" s="6"/>
    </row>
    <row r="22" spans="1:14">
      <c r="A22" s="5">
        <f t="shared" si="0"/>
        <v>106</v>
      </c>
      <c r="B22" s="5" t="s">
        <v>60</v>
      </c>
      <c r="C22" s="5" t="s">
        <v>39</v>
      </c>
      <c r="D22" s="5" t="s">
        <v>75</v>
      </c>
      <c r="E22" s="5" t="b">
        <v>1</v>
      </c>
      <c r="F22" s="22" t="b">
        <v>1</v>
      </c>
      <c r="G22" s="7"/>
      <c r="H22" s="5" t="s">
        <v>17</v>
      </c>
      <c r="I22" s="6" t="s">
        <v>18</v>
      </c>
      <c r="J22" s="5" t="s">
        <v>76</v>
      </c>
      <c r="K22" s="10"/>
      <c r="L22" s="6"/>
      <c r="M22" s="6"/>
      <c r="N22" s="6"/>
    </row>
    <row r="23" spans="1:14">
      <c r="A23" s="5">
        <f t="shared" si="0"/>
        <v>107</v>
      </c>
      <c r="B23" s="5" t="s">
        <v>60</v>
      </c>
      <c r="C23" s="5" t="s">
        <v>39</v>
      </c>
      <c r="D23" s="5" t="s">
        <v>77</v>
      </c>
      <c r="E23" s="5" t="b">
        <v>1</v>
      </c>
      <c r="F23" s="22" t="b">
        <v>1</v>
      </c>
      <c r="G23" s="7" t="s">
        <v>78</v>
      </c>
      <c r="H23" s="5" t="s">
        <v>17</v>
      </c>
      <c r="I23" s="6" t="s">
        <v>18</v>
      </c>
      <c r="J23" s="5" t="s">
        <v>76</v>
      </c>
      <c r="K23" s="10"/>
      <c r="L23" s="6"/>
      <c r="M23" s="6"/>
      <c r="N23" s="6"/>
    </row>
    <row r="24" spans="1:14">
      <c r="A24" s="5">
        <f t="shared" si="0"/>
        <v>108</v>
      </c>
      <c r="B24" s="5" t="s">
        <v>60</v>
      </c>
      <c r="C24" s="5" t="s">
        <v>43</v>
      </c>
      <c r="D24" s="5" t="s">
        <v>79</v>
      </c>
      <c r="E24" s="5" t="b">
        <v>1</v>
      </c>
      <c r="F24" s="22" t="b">
        <v>1</v>
      </c>
      <c r="G24" s="7"/>
      <c r="H24" s="5" t="s">
        <v>45</v>
      </c>
      <c r="I24" s="6" t="s">
        <v>80</v>
      </c>
      <c r="J24" s="5" t="s">
        <v>81</v>
      </c>
      <c r="K24" s="10"/>
      <c r="L24" s="6"/>
      <c r="M24" s="6"/>
      <c r="N24" s="6"/>
    </row>
    <row r="25" spans="1:14">
      <c r="A25" s="5">
        <f t="shared" si="0"/>
        <v>109</v>
      </c>
      <c r="B25" s="5" t="s">
        <v>60</v>
      </c>
      <c r="C25" s="5" t="s">
        <v>48</v>
      </c>
      <c r="D25" s="5" t="s">
        <v>82</v>
      </c>
      <c r="E25" s="5" t="b">
        <v>1</v>
      </c>
      <c r="F25" s="22" t="b">
        <v>1</v>
      </c>
      <c r="G25" s="7"/>
      <c r="H25" s="5" t="s">
        <v>45</v>
      </c>
      <c r="I25" s="6" t="s">
        <v>80</v>
      </c>
      <c r="J25" s="5" t="s">
        <v>83</v>
      </c>
      <c r="K25" s="10"/>
      <c r="L25" s="6"/>
      <c r="M25" s="6"/>
      <c r="N25" s="6"/>
    </row>
    <row r="26" spans="1:14">
      <c r="A26" s="5">
        <f t="shared" si="0"/>
        <v>110</v>
      </c>
      <c r="B26" s="5" t="s">
        <v>60</v>
      </c>
      <c r="C26" s="5" t="s">
        <v>39</v>
      </c>
      <c r="D26" s="5" t="s">
        <v>84</v>
      </c>
      <c r="E26" s="5" t="b">
        <v>1</v>
      </c>
      <c r="F26" s="22" t="b">
        <v>1</v>
      </c>
      <c r="G26" s="7"/>
      <c r="H26" s="5" t="s">
        <v>17</v>
      </c>
      <c r="I26" s="6" t="s">
        <v>18</v>
      </c>
      <c r="J26" s="5" t="s">
        <v>85</v>
      </c>
      <c r="K26" s="10"/>
      <c r="L26" s="6"/>
      <c r="M26" s="6"/>
      <c r="N26" s="6"/>
    </row>
    <row r="27" spans="1:14">
      <c r="A27" s="5">
        <f t="shared" si="0"/>
        <v>111</v>
      </c>
      <c r="B27" s="5" t="s">
        <v>60</v>
      </c>
      <c r="C27" s="5" t="s">
        <v>86</v>
      </c>
      <c r="D27" s="5" t="s">
        <v>87</v>
      </c>
      <c r="E27" s="5" t="b">
        <v>1</v>
      </c>
      <c r="F27" s="22" t="b">
        <v>1</v>
      </c>
      <c r="G27" s="7" t="s">
        <v>88</v>
      </c>
      <c r="H27" s="5" t="s">
        <v>17</v>
      </c>
      <c r="I27" s="6" t="s">
        <v>18</v>
      </c>
      <c r="J27" s="5" t="s">
        <v>89</v>
      </c>
      <c r="K27" s="10"/>
      <c r="L27" s="6"/>
      <c r="M27" s="6"/>
      <c r="N27" s="6"/>
    </row>
    <row r="28" spans="1:14">
      <c r="A28" s="5">
        <f t="shared" si="0"/>
        <v>112</v>
      </c>
      <c r="B28" s="5" t="s">
        <v>60</v>
      </c>
      <c r="C28" s="5" t="s">
        <v>86</v>
      </c>
      <c r="D28" s="5" t="s">
        <v>90</v>
      </c>
      <c r="E28" s="5" t="b">
        <v>1</v>
      </c>
      <c r="F28" s="22" t="b">
        <v>1</v>
      </c>
      <c r="G28" s="7" t="s">
        <v>91</v>
      </c>
      <c r="H28" s="5" t="s">
        <v>17</v>
      </c>
      <c r="I28" s="6" t="s">
        <v>18</v>
      </c>
      <c r="J28" s="5" t="s">
        <v>92</v>
      </c>
      <c r="K28" s="10"/>
      <c r="L28" s="6"/>
      <c r="M28" s="6"/>
      <c r="N28" s="6"/>
    </row>
    <row r="29" spans="1:14">
      <c r="A29" s="5">
        <f t="shared" si="0"/>
        <v>113</v>
      </c>
      <c r="B29" s="5" t="s">
        <v>60</v>
      </c>
      <c r="C29" s="5" t="s">
        <v>93</v>
      </c>
      <c r="D29" s="5" t="s">
        <v>94</v>
      </c>
      <c r="E29" s="5" t="b">
        <v>1</v>
      </c>
      <c r="F29" s="22" t="b">
        <v>1</v>
      </c>
      <c r="G29" s="7" t="s">
        <v>95</v>
      </c>
      <c r="H29" s="5" t="s">
        <v>45</v>
      </c>
      <c r="I29" s="6" t="s">
        <v>80</v>
      </c>
      <c r="J29" s="5" t="s">
        <v>96</v>
      </c>
      <c r="K29" s="10"/>
      <c r="L29" s="6"/>
      <c r="M29" s="6"/>
      <c r="N29" s="6"/>
    </row>
    <row r="30" spans="1:14">
      <c r="A30" s="5">
        <f t="shared" si="0"/>
        <v>114</v>
      </c>
      <c r="B30" s="5" t="s">
        <v>60</v>
      </c>
      <c r="C30" s="5" t="s">
        <v>93</v>
      </c>
      <c r="D30" s="5" t="s">
        <v>97</v>
      </c>
      <c r="E30" s="5" t="b">
        <v>1</v>
      </c>
      <c r="F30" s="22" t="b">
        <v>1</v>
      </c>
      <c r="G30" s="7" t="s">
        <v>98</v>
      </c>
      <c r="H30" s="5" t="s">
        <v>45</v>
      </c>
      <c r="I30" s="6" t="s">
        <v>80</v>
      </c>
      <c r="J30" s="5" t="s">
        <v>99</v>
      </c>
      <c r="K30" s="10"/>
      <c r="L30" s="6"/>
      <c r="M30" s="6"/>
      <c r="N30" s="6"/>
    </row>
    <row r="31" spans="1:14">
      <c r="A31" s="5">
        <f t="shared" si="0"/>
        <v>115</v>
      </c>
      <c r="B31" s="5" t="s">
        <v>60</v>
      </c>
      <c r="C31" s="5" t="s">
        <v>100</v>
      </c>
      <c r="D31" s="5" t="s">
        <v>101</v>
      </c>
      <c r="E31" s="5" t="b">
        <v>1</v>
      </c>
      <c r="F31" s="22" t="b">
        <v>1</v>
      </c>
      <c r="G31" s="7"/>
      <c r="H31" s="5" t="s">
        <v>45</v>
      </c>
      <c r="I31" s="6" t="s">
        <v>80</v>
      </c>
      <c r="J31" s="5" t="s">
        <v>102</v>
      </c>
      <c r="K31" s="10"/>
      <c r="L31" s="6"/>
      <c r="M31" s="6"/>
      <c r="N31" s="6"/>
    </row>
    <row r="32" spans="1:14">
      <c r="A32" s="5">
        <f t="shared" si="0"/>
        <v>116</v>
      </c>
      <c r="B32" s="5" t="s">
        <v>60</v>
      </c>
      <c r="C32" s="5" t="s">
        <v>15</v>
      </c>
      <c r="D32" s="5" t="s">
        <v>103</v>
      </c>
      <c r="E32" s="5" t="b">
        <v>1</v>
      </c>
      <c r="F32" s="22" t="b">
        <v>1</v>
      </c>
      <c r="G32" s="7" t="s">
        <v>104</v>
      </c>
      <c r="H32" s="5" t="s">
        <v>17</v>
      </c>
      <c r="I32" s="6" t="s">
        <v>18</v>
      </c>
      <c r="J32" s="5" t="s">
        <v>62</v>
      </c>
      <c r="K32" s="10"/>
      <c r="L32" s="6"/>
      <c r="M32" s="6"/>
      <c r="N32" s="6"/>
    </row>
    <row r="33" spans="1:14">
      <c r="A33" s="5">
        <f t="shared" si="0"/>
        <v>117</v>
      </c>
      <c r="B33" s="5" t="s">
        <v>60</v>
      </c>
      <c r="C33" s="5" t="s">
        <v>100</v>
      </c>
      <c r="D33" s="5" t="s">
        <v>105</v>
      </c>
      <c r="E33" s="5" t="b">
        <v>1</v>
      </c>
      <c r="F33" s="22" t="b">
        <v>1</v>
      </c>
      <c r="G33" s="7" t="s">
        <v>104</v>
      </c>
      <c r="H33" s="5" t="s">
        <v>45</v>
      </c>
      <c r="I33" s="6" t="s">
        <v>80</v>
      </c>
      <c r="J33" s="5" t="s">
        <v>106</v>
      </c>
      <c r="K33" s="10"/>
      <c r="L33" s="6"/>
      <c r="M33" s="6"/>
      <c r="N33" s="6"/>
    </row>
    <row r="34" spans="1:14">
      <c r="A34" s="5">
        <f t="shared" si="0"/>
        <v>118</v>
      </c>
      <c r="B34" s="5" t="s">
        <v>60</v>
      </c>
      <c r="C34" s="5" t="s">
        <v>43</v>
      </c>
      <c r="D34" s="5" t="s">
        <v>107</v>
      </c>
      <c r="E34" s="5" t="b">
        <v>1</v>
      </c>
      <c r="F34" s="22" t="b">
        <v>1</v>
      </c>
      <c r="G34" s="7" t="s">
        <v>104</v>
      </c>
      <c r="H34" s="5" t="s">
        <v>45</v>
      </c>
      <c r="I34" s="6" t="s">
        <v>80</v>
      </c>
      <c r="J34" s="5" t="s">
        <v>81</v>
      </c>
      <c r="K34" s="10"/>
      <c r="L34" s="6"/>
      <c r="M34" s="6"/>
      <c r="N34" s="6"/>
    </row>
    <row r="35" spans="1:14">
      <c r="A35" s="5">
        <f t="shared" si="0"/>
        <v>119</v>
      </c>
      <c r="B35" s="5" t="s">
        <v>60</v>
      </c>
      <c r="C35" s="5" t="s">
        <v>108</v>
      </c>
      <c r="D35" s="5" t="s">
        <v>109</v>
      </c>
      <c r="E35" s="5" t="b">
        <v>1</v>
      </c>
      <c r="F35" s="22" t="b">
        <v>1</v>
      </c>
      <c r="G35" s="7"/>
      <c r="H35" s="5" t="s">
        <v>17</v>
      </c>
      <c r="I35" s="6" t="s">
        <v>18</v>
      </c>
      <c r="J35" s="5" t="s">
        <v>110</v>
      </c>
      <c r="K35" s="10"/>
      <c r="L35" s="6"/>
      <c r="M35" s="6"/>
      <c r="N35" s="6"/>
    </row>
    <row r="36" spans="1:14">
      <c r="A36" s="5">
        <f t="shared" si="0"/>
        <v>120</v>
      </c>
      <c r="B36" s="5" t="s">
        <v>60</v>
      </c>
      <c r="C36" s="5" t="s">
        <v>108</v>
      </c>
      <c r="D36" s="5" t="s">
        <v>111</v>
      </c>
      <c r="E36" s="5" t="b">
        <v>1</v>
      </c>
      <c r="F36" s="22" t="b">
        <v>1</v>
      </c>
      <c r="G36" s="7"/>
      <c r="H36" s="5" t="s">
        <v>17</v>
      </c>
      <c r="I36" s="6" t="s">
        <v>18</v>
      </c>
      <c r="J36" s="5" t="s">
        <v>112</v>
      </c>
      <c r="K36" s="10"/>
      <c r="L36" s="6"/>
      <c r="M36" s="6"/>
      <c r="N36" s="6"/>
    </row>
    <row r="37" spans="1:14">
      <c r="A37" s="5">
        <f t="shared" si="0"/>
        <v>121</v>
      </c>
      <c r="B37" s="5" t="s">
        <v>60</v>
      </c>
      <c r="C37" s="5" t="s">
        <v>113</v>
      </c>
      <c r="D37" s="5" t="s">
        <v>114</v>
      </c>
      <c r="E37" s="5" t="b">
        <v>1</v>
      </c>
      <c r="F37" s="22" t="b">
        <v>1</v>
      </c>
      <c r="G37" s="7"/>
      <c r="H37" s="5" t="s">
        <v>45</v>
      </c>
      <c r="I37" s="6" t="s">
        <v>80</v>
      </c>
      <c r="J37" s="5" t="s">
        <v>115</v>
      </c>
      <c r="K37" s="10"/>
      <c r="L37" s="6"/>
      <c r="M37" s="6"/>
      <c r="N37" s="6"/>
    </row>
    <row r="38" spans="1:14">
      <c r="A38" s="5">
        <f t="shared" si="0"/>
        <v>122</v>
      </c>
      <c r="B38" s="5" t="s">
        <v>60</v>
      </c>
      <c r="C38" s="5" t="s">
        <v>116</v>
      </c>
      <c r="D38" s="5" t="s">
        <v>117</v>
      </c>
      <c r="E38" s="5" t="b">
        <v>1</v>
      </c>
      <c r="F38" s="22" t="b">
        <v>0</v>
      </c>
      <c r="G38" s="7"/>
      <c r="H38" s="5" t="s">
        <v>45</v>
      </c>
      <c r="I38" s="6" t="s">
        <v>80</v>
      </c>
      <c r="J38" s="5" t="s">
        <v>118</v>
      </c>
      <c r="K38" s="10"/>
      <c r="L38" s="6"/>
      <c r="M38" s="6"/>
      <c r="N38" s="6"/>
    </row>
    <row r="39" spans="1:14">
      <c r="A39" s="5">
        <f t="shared" si="0"/>
        <v>123</v>
      </c>
      <c r="B39" s="5" t="s">
        <v>60</v>
      </c>
      <c r="C39" s="5" t="s">
        <v>51</v>
      </c>
      <c r="D39" s="5" t="s">
        <v>119</v>
      </c>
      <c r="E39" s="5" t="b">
        <v>1</v>
      </c>
      <c r="F39" s="22" t="b">
        <v>1</v>
      </c>
      <c r="G39" s="7"/>
      <c r="H39" s="5" t="s">
        <v>45</v>
      </c>
      <c r="I39" s="6" t="s">
        <v>80</v>
      </c>
      <c r="J39" s="5" t="s">
        <v>120</v>
      </c>
      <c r="K39" s="10"/>
      <c r="L39" s="6"/>
      <c r="M39" s="6"/>
      <c r="N39" s="6"/>
    </row>
    <row r="40" spans="1:14">
      <c r="A40" s="5">
        <f t="shared" si="0"/>
        <v>124</v>
      </c>
      <c r="B40" s="5" t="s">
        <v>60</v>
      </c>
      <c r="C40" s="24" t="s">
        <v>121</v>
      </c>
      <c r="D40" s="5" t="s">
        <v>122</v>
      </c>
      <c r="E40" s="5" t="b">
        <v>0</v>
      </c>
      <c r="F40" s="22" t="b">
        <v>1</v>
      </c>
      <c r="G40" s="7" t="s">
        <v>123</v>
      </c>
      <c r="H40" s="5"/>
      <c r="I40" s="6"/>
      <c r="J40" s="5" t="s">
        <v>124</v>
      </c>
      <c r="K40" s="10"/>
      <c r="L40" s="6"/>
      <c r="M40" s="6"/>
      <c r="N40" s="6"/>
    </row>
    <row r="41" spans="1:14">
      <c r="A41" s="5">
        <f t="shared" si="0"/>
        <v>125</v>
      </c>
      <c r="B41" s="5" t="s">
        <v>60</v>
      </c>
      <c r="C41" s="24" t="s">
        <v>121</v>
      </c>
      <c r="D41" s="5" t="s">
        <v>125</v>
      </c>
      <c r="E41" s="5" t="b">
        <v>0</v>
      </c>
      <c r="F41" s="22" t="b">
        <v>1</v>
      </c>
      <c r="G41" s="7" t="s">
        <v>126</v>
      </c>
      <c r="H41" s="5"/>
      <c r="I41" s="6"/>
      <c r="J41" s="5" t="s">
        <v>124</v>
      </c>
      <c r="K41" s="10"/>
      <c r="L41" s="6"/>
      <c r="M41" s="6"/>
      <c r="N41" s="6"/>
    </row>
    <row r="42" spans="1:14">
      <c r="A42" s="5">
        <f t="shared" si="0"/>
        <v>126</v>
      </c>
      <c r="B42" s="5" t="s">
        <v>60</v>
      </c>
      <c r="C42" s="5" t="s">
        <v>54</v>
      </c>
      <c r="D42" s="5" t="s">
        <v>127</v>
      </c>
      <c r="E42" s="5" t="b">
        <v>1</v>
      </c>
      <c r="F42" s="22" t="b">
        <v>1</v>
      </c>
      <c r="G42" s="7"/>
      <c r="H42" s="5" t="s">
        <v>45</v>
      </c>
      <c r="I42" s="6" t="s">
        <v>80</v>
      </c>
      <c r="J42" s="5" t="s">
        <v>128</v>
      </c>
      <c r="K42" s="10"/>
      <c r="L42" s="6"/>
      <c r="M42" s="6"/>
      <c r="N42" s="6"/>
    </row>
    <row r="43" spans="1:14">
      <c r="A43" s="5">
        <f t="shared" si="0"/>
        <v>127</v>
      </c>
      <c r="B43" s="5" t="s">
        <v>60</v>
      </c>
      <c r="C43" s="5" t="s">
        <v>129</v>
      </c>
      <c r="D43" s="5" t="s">
        <v>130</v>
      </c>
      <c r="E43" s="5" t="b">
        <v>1</v>
      </c>
      <c r="F43" s="22" t="b">
        <v>1</v>
      </c>
      <c r="G43" s="7"/>
      <c r="H43" s="5" t="s">
        <v>45</v>
      </c>
      <c r="I43" s="6" t="s">
        <v>80</v>
      </c>
      <c r="J43" s="5" t="s">
        <v>131</v>
      </c>
      <c r="K43" s="10"/>
      <c r="L43" s="6"/>
      <c r="M43" s="6"/>
      <c r="N43" s="6"/>
    </row>
    <row r="44" spans="1:14">
      <c r="A44" s="5">
        <f t="shared" si="0"/>
        <v>128</v>
      </c>
      <c r="B44" s="5" t="s">
        <v>60</v>
      </c>
      <c r="C44" s="5" t="s">
        <v>57</v>
      </c>
      <c r="D44" s="5" t="s">
        <v>132</v>
      </c>
      <c r="E44" s="5" t="b">
        <v>1</v>
      </c>
      <c r="F44" s="22" t="b">
        <v>1</v>
      </c>
      <c r="G44" s="7"/>
      <c r="H44" s="5" t="s">
        <v>45</v>
      </c>
      <c r="I44" s="6" t="s">
        <v>80</v>
      </c>
      <c r="J44" s="5" t="s">
        <v>133</v>
      </c>
      <c r="K44" s="10"/>
      <c r="L44" s="6"/>
      <c r="M44" s="6"/>
      <c r="N44" s="6"/>
    </row>
    <row r="45" spans="1:14">
      <c r="A45" s="5"/>
      <c r="B45" s="5"/>
      <c r="C45" s="5"/>
      <c r="D45" s="5"/>
      <c r="E45" s="5" t="b">
        <v>0</v>
      </c>
      <c r="F45" s="22" t="b">
        <v>0</v>
      </c>
      <c r="G45" s="7"/>
      <c r="H45" s="5"/>
      <c r="I45" s="6"/>
      <c r="J45" s="13"/>
      <c r="K45" s="10"/>
      <c r="L45" s="6"/>
      <c r="M45" s="6"/>
      <c r="N45" s="6"/>
    </row>
    <row r="46" spans="1:14">
      <c r="A46" s="5">
        <v>201</v>
      </c>
      <c r="B46" s="5" t="s">
        <v>134</v>
      </c>
      <c r="C46" s="5" t="s">
        <v>15</v>
      </c>
      <c r="D46" s="5" t="s">
        <v>135</v>
      </c>
      <c r="E46" s="22" t="b">
        <v>1</v>
      </c>
      <c r="F46" s="22" t="b">
        <v>1</v>
      </c>
      <c r="G46" s="7"/>
      <c r="H46" s="5" t="s">
        <v>17</v>
      </c>
      <c r="I46" s="6" t="s">
        <v>18</v>
      </c>
      <c r="J46" s="5" t="s">
        <v>136</v>
      </c>
      <c r="K46" s="10"/>
      <c r="L46" s="6"/>
      <c r="M46" s="6"/>
      <c r="N46" s="6"/>
    </row>
    <row r="47" spans="1:14">
      <c r="A47" s="5">
        <f t="shared" si="0"/>
        <v>202</v>
      </c>
      <c r="B47" s="5" t="s">
        <v>134</v>
      </c>
      <c r="C47" s="5" t="s">
        <v>29</v>
      </c>
      <c r="D47" s="5" t="s">
        <v>137</v>
      </c>
      <c r="E47" s="22" t="b">
        <v>0</v>
      </c>
      <c r="F47" s="22" t="b">
        <v>1</v>
      </c>
      <c r="G47" s="7" t="s">
        <v>74</v>
      </c>
      <c r="H47" s="5" t="s">
        <v>17</v>
      </c>
      <c r="I47" s="6" t="s">
        <v>18</v>
      </c>
      <c r="J47" s="5" t="s">
        <v>138</v>
      </c>
      <c r="K47" s="10"/>
      <c r="L47" s="6"/>
      <c r="M47" s="6"/>
      <c r="N47" s="6"/>
    </row>
    <row r="48" spans="1:14">
      <c r="A48" s="5">
        <f t="shared" si="0"/>
        <v>203</v>
      </c>
      <c r="B48" s="5" t="s">
        <v>134</v>
      </c>
      <c r="C48" s="5" t="s">
        <v>39</v>
      </c>
      <c r="D48" s="5" t="s">
        <v>139</v>
      </c>
      <c r="E48" s="5" t="b">
        <v>1</v>
      </c>
      <c r="F48" s="22" t="b">
        <v>1</v>
      </c>
      <c r="G48" s="7"/>
      <c r="H48" s="5" t="s">
        <v>17</v>
      </c>
      <c r="I48" s="6" t="s">
        <v>18</v>
      </c>
      <c r="J48" s="5" t="s">
        <v>140</v>
      </c>
      <c r="K48" s="10"/>
      <c r="L48" s="6"/>
      <c r="M48" s="6"/>
      <c r="N48" s="6"/>
    </row>
    <row r="49" spans="1:14">
      <c r="A49" s="5">
        <f t="shared" si="0"/>
        <v>204</v>
      </c>
      <c r="B49" s="5" t="s">
        <v>134</v>
      </c>
      <c r="C49" s="5" t="s">
        <v>43</v>
      </c>
      <c r="D49" s="5" t="s">
        <v>141</v>
      </c>
      <c r="E49" s="5" t="b">
        <v>1</v>
      </c>
      <c r="F49" s="22" t="b">
        <v>1</v>
      </c>
      <c r="G49" s="7"/>
      <c r="H49" s="5" t="s">
        <v>45</v>
      </c>
      <c r="I49" s="6" t="s">
        <v>80</v>
      </c>
      <c r="J49" s="5" t="s">
        <v>142</v>
      </c>
      <c r="K49" s="10"/>
      <c r="L49" s="6"/>
      <c r="M49" s="6"/>
      <c r="N49" s="6"/>
    </row>
    <row r="50" spans="1:14">
      <c r="A50" s="5">
        <f t="shared" si="0"/>
        <v>205</v>
      </c>
      <c r="B50" s="5" t="s">
        <v>134</v>
      </c>
      <c r="C50" s="5" t="s">
        <v>48</v>
      </c>
      <c r="D50" s="5" t="s">
        <v>143</v>
      </c>
      <c r="E50" s="5" t="b">
        <v>1</v>
      </c>
      <c r="F50" s="22" t="b">
        <v>1</v>
      </c>
      <c r="G50" s="7"/>
      <c r="H50" s="5" t="s">
        <v>45</v>
      </c>
      <c r="I50" s="6" t="s">
        <v>80</v>
      </c>
      <c r="J50" s="5" t="s">
        <v>144</v>
      </c>
      <c r="K50" s="10"/>
      <c r="L50" s="6"/>
      <c r="M50" s="6"/>
      <c r="N50" s="6"/>
    </row>
    <row r="51" spans="1:14">
      <c r="A51" s="5">
        <f t="shared" si="0"/>
        <v>206</v>
      </c>
      <c r="B51" s="5" t="s">
        <v>134</v>
      </c>
      <c r="C51" s="5" t="s">
        <v>86</v>
      </c>
      <c r="D51" s="5" t="s">
        <v>145</v>
      </c>
      <c r="E51" s="5" t="b">
        <v>1</v>
      </c>
      <c r="F51" s="22" t="b">
        <v>1</v>
      </c>
      <c r="G51" s="7"/>
      <c r="H51" s="5" t="s">
        <v>17</v>
      </c>
      <c r="I51" s="6" t="s">
        <v>18</v>
      </c>
      <c r="J51" s="5" t="s">
        <v>146</v>
      </c>
      <c r="K51" s="10"/>
      <c r="L51" s="6"/>
      <c r="M51" s="6"/>
      <c r="N51" s="6"/>
    </row>
    <row r="52" spans="1:14">
      <c r="A52" s="5">
        <f t="shared" si="0"/>
        <v>207</v>
      </c>
      <c r="B52" s="5" t="s">
        <v>134</v>
      </c>
      <c r="C52" s="5" t="s">
        <v>86</v>
      </c>
      <c r="D52" s="5" t="s">
        <v>147</v>
      </c>
      <c r="E52" s="5" t="b">
        <v>1</v>
      </c>
      <c r="F52" s="22" t="b">
        <v>1</v>
      </c>
      <c r="G52" s="7"/>
      <c r="H52" s="5" t="s">
        <v>17</v>
      </c>
      <c r="I52" s="6" t="s">
        <v>18</v>
      </c>
      <c r="J52" s="5" t="s">
        <v>148</v>
      </c>
      <c r="K52" s="10"/>
      <c r="L52" s="6"/>
      <c r="M52" s="6"/>
      <c r="N52" s="6"/>
    </row>
    <row r="53" spans="1:14">
      <c r="A53" s="5">
        <f t="shared" si="0"/>
        <v>208</v>
      </c>
      <c r="B53" s="5" t="s">
        <v>134</v>
      </c>
      <c r="C53" s="5" t="s">
        <v>93</v>
      </c>
      <c r="D53" s="5" t="s">
        <v>149</v>
      </c>
      <c r="E53" s="5" t="b">
        <v>1</v>
      </c>
      <c r="F53" s="22" t="b">
        <v>1</v>
      </c>
      <c r="G53" s="7"/>
      <c r="H53" s="5" t="s">
        <v>45</v>
      </c>
      <c r="I53" s="6" t="s">
        <v>80</v>
      </c>
      <c r="J53" s="5" t="s">
        <v>150</v>
      </c>
      <c r="K53" s="10"/>
      <c r="L53" s="6"/>
      <c r="M53" s="6"/>
      <c r="N53" s="6"/>
    </row>
    <row r="54" spans="1:14">
      <c r="A54" s="5">
        <f t="shared" si="0"/>
        <v>209</v>
      </c>
      <c r="B54" s="5" t="s">
        <v>134</v>
      </c>
      <c r="C54" s="5" t="s">
        <v>100</v>
      </c>
      <c r="D54" s="5" t="s">
        <v>151</v>
      </c>
      <c r="E54" s="5" t="b">
        <v>1</v>
      </c>
      <c r="F54" s="22" t="b">
        <v>1</v>
      </c>
      <c r="G54" s="7"/>
      <c r="H54" s="5" t="s">
        <v>45</v>
      </c>
      <c r="I54" s="6" t="s">
        <v>80</v>
      </c>
      <c r="J54" s="5" t="s">
        <v>152</v>
      </c>
      <c r="K54" s="10"/>
      <c r="L54" s="6"/>
      <c r="M54" s="6"/>
      <c r="N54" s="6"/>
    </row>
    <row r="55" spans="1:14">
      <c r="A55" s="5">
        <f t="shared" si="0"/>
        <v>210</v>
      </c>
      <c r="B55" s="5" t="s">
        <v>134</v>
      </c>
      <c r="C55" s="5" t="s">
        <v>108</v>
      </c>
      <c r="D55" s="5" t="s">
        <v>153</v>
      </c>
      <c r="E55" s="5" t="b">
        <v>1</v>
      </c>
      <c r="F55" s="22" t="b">
        <v>1</v>
      </c>
      <c r="G55" s="7"/>
      <c r="H55" s="5" t="s">
        <v>17</v>
      </c>
      <c r="I55" s="6" t="s">
        <v>18</v>
      </c>
      <c r="J55" s="5" t="s">
        <v>154</v>
      </c>
      <c r="K55" s="10"/>
      <c r="L55" s="6"/>
      <c r="M55" s="6"/>
      <c r="N55" s="6"/>
    </row>
    <row r="56" spans="1:14">
      <c r="A56" s="5">
        <f t="shared" si="0"/>
        <v>211</v>
      </c>
      <c r="B56" s="5" t="s">
        <v>134</v>
      </c>
      <c r="C56" s="5" t="s">
        <v>113</v>
      </c>
      <c r="D56" s="5" t="s">
        <v>155</v>
      </c>
      <c r="E56" s="5" t="b">
        <v>1</v>
      </c>
      <c r="F56" s="22" t="b">
        <v>1</v>
      </c>
      <c r="G56" s="7" t="s">
        <v>156</v>
      </c>
      <c r="H56" s="5" t="s">
        <v>45</v>
      </c>
      <c r="I56" s="6" t="s">
        <v>80</v>
      </c>
      <c r="J56" s="5" t="s">
        <v>157</v>
      </c>
      <c r="K56" s="10"/>
      <c r="L56" s="6"/>
      <c r="M56" s="6"/>
      <c r="N56" s="6"/>
    </row>
    <row r="57" spans="1:14">
      <c r="A57" s="5">
        <f t="shared" si="0"/>
        <v>212</v>
      </c>
      <c r="B57" s="5" t="s">
        <v>134</v>
      </c>
      <c r="C57" s="5" t="s">
        <v>51</v>
      </c>
      <c r="D57" s="5" t="s">
        <v>158</v>
      </c>
      <c r="E57" s="5" t="b">
        <v>1</v>
      </c>
      <c r="F57" s="22" t="b">
        <v>1</v>
      </c>
      <c r="G57" s="7"/>
      <c r="H57" s="5" t="s">
        <v>45</v>
      </c>
      <c r="I57" s="6" t="s">
        <v>80</v>
      </c>
      <c r="J57" s="5" t="s">
        <v>159</v>
      </c>
      <c r="K57" s="10"/>
      <c r="L57" s="6"/>
      <c r="M57" s="6"/>
      <c r="N57" s="6"/>
    </row>
    <row r="58" spans="1:14">
      <c r="A58" s="5">
        <f t="shared" si="0"/>
        <v>213</v>
      </c>
      <c r="B58" s="5" t="s">
        <v>134</v>
      </c>
      <c r="C58" s="5" t="s">
        <v>54</v>
      </c>
      <c r="D58" s="5" t="s">
        <v>160</v>
      </c>
      <c r="E58" s="5" t="b">
        <v>1</v>
      </c>
      <c r="F58" s="22" t="b">
        <v>1</v>
      </c>
      <c r="G58" s="7"/>
      <c r="H58" s="5" t="s">
        <v>45</v>
      </c>
      <c r="I58" s="6" t="s">
        <v>80</v>
      </c>
      <c r="J58" s="5" t="s">
        <v>161</v>
      </c>
      <c r="K58" s="10"/>
      <c r="L58" s="6"/>
      <c r="M58" s="6"/>
      <c r="N58" s="6"/>
    </row>
    <row r="59" spans="1:14">
      <c r="A59" s="5">
        <f t="shared" si="0"/>
        <v>214</v>
      </c>
      <c r="B59" s="5" t="s">
        <v>134</v>
      </c>
      <c r="C59" s="5" t="s">
        <v>162</v>
      </c>
      <c r="D59" s="5" t="s">
        <v>163</v>
      </c>
      <c r="E59" s="5" t="b">
        <v>1</v>
      </c>
      <c r="F59" s="22" t="b">
        <v>1</v>
      </c>
      <c r="G59" s="7"/>
      <c r="H59" s="5" t="s">
        <v>45</v>
      </c>
      <c r="I59" s="6" t="s">
        <v>80</v>
      </c>
      <c r="J59" s="5" t="s">
        <v>164</v>
      </c>
      <c r="K59" s="10"/>
      <c r="L59" s="6"/>
      <c r="M59" s="6"/>
      <c r="N59" s="6"/>
    </row>
    <row r="60" spans="1:14">
      <c r="A60" s="5">
        <f t="shared" si="0"/>
        <v>215</v>
      </c>
      <c r="B60" s="5" t="s">
        <v>134</v>
      </c>
      <c r="C60" s="5" t="s">
        <v>57</v>
      </c>
      <c r="D60" s="5" t="s">
        <v>165</v>
      </c>
      <c r="E60" s="5" t="b">
        <v>1</v>
      </c>
      <c r="F60" s="22" t="b">
        <v>1</v>
      </c>
      <c r="G60" s="7"/>
      <c r="H60" s="5" t="s">
        <v>45</v>
      </c>
      <c r="I60" s="6" t="s">
        <v>80</v>
      </c>
      <c r="J60" s="5" t="s">
        <v>166</v>
      </c>
      <c r="K60" s="10"/>
      <c r="L60" s="6"/>
      <c r="M60" s="6"/>
      <c r="N60" s="6"/>
    </row>
    <row r="61" spans="1:14">
      <c r="A61" s="5">
        <f t="shared" si="0"/>
        <v>216</v>
      </c>
      <c r="B61" s="5" t="s">
        <v>134</v>
      </c>
      <c r="C61" s="5" t="s">
        <v>167</v>
      </c>
      <c r="D61" s="5" t="s">
        <v>168</v>
      </c>
      <c r="E61" s="5" t="b">
        <v>1</v>
      </c>
      <c r="F61" s="22" t="b">
        <v>1</v>
      </c>
      <c r="G61" s="7"/>
      <c r="H61" s="5"/>
      <c r="I61" s="6"/>
      <c r="J61" s="5" t="s">
        <v>169</v>
      </c>
      <c r="K61" s="10"/>
      <c r="L61" s="6"/>
      <c r="M61" s="6"/>
      <c r="N61" s="6"/>
    </row>
    <row r="62" spans="1:14">
      <c r="A62" s="5"/>
      <c r="B62" s="5"/>
      <c r="C62" s="5"/>
      <c r="D62" s="5"/>
      <c r="E62" s="5" t="b">
        <v>0</v>
      </c>
      <c r="F62" s="22" t="b">
        <v>0</v>
      </c>
      <c r="G62" s="7"/>
      <c r="H62" s="5"/>
      <c r="I62" s="6"/>
      <c r="J62" s="13"/>
      <c r="K62" s="10"/>
      <c r="L62" s="6"/>
      <c r="M62" s="6"/>
      <c r="N62" s="6"/>
    </row>
    <row r="63" spans="1:14">
      <c r="A63" s="5">
        <v>301</v>
      </c>
      <c r="B63" s="5" t="s">
        <v>170</v>
      </c>
      <c r="C63" s="5" t="s">
        <v>15</v>
      </c>
      <c r="D63" s="5" t="s">
        <v>171</v>
      </c>
      <c r="E63" s="22" t="b">
        <v>1</v>
      </c>
      <c r="F63" s="22" t="b">
        <v>1</v>
      </c>
      <c r="G63" s="10" t="s">
        <v>172</v>
      </c>
      <c r="H63" s="5" t="s">
        <v>17</v>
      </c>
      <c r="I63" s="6" t="s">
        <v>18</v>
      </c>
      <c r="J63" s="5" t="s">
        <v>173</v>
      </c>
      <c r="K63" s="10" t="s">
        <v>172</v>
      </c>
      <c r="L63" s="6"/>
      <c r="M63" s="6"/>
      <c r="N63" s="6"/>
    </row>
    <row r="64" spans="1:14">
      <c r="A64" s="5">
        <f t="shared" si="0"/>
        <v>302</v>
      </c>
      <c r="B64" s="5" t="s">
        <v>170</v>
      </c>
      <c r="C64" s="5" t="s">
        <v>15</v>
      </c>
      <c r="D64" s="5" t="s">
        <v>174</v>
      </c>
      <c r="E64" s="22" t="b">
        <v>1</v>
      </c>
      <c r="F64" s="22" t="b">
        <v>1</v>
      </c>
      <c r="G64" s="10" t="s">
        <v>175</v>
      </c>
      <c r="H64" s="5" t="s">
        <v>17</v>
      </c>
      <c r="I64" s="6" t="s">
        <v>18</v>
      </c>
      <c r="J64" s="5" t="s">
        <v>176</v>
      </c>
      <c r="K64" s="10" t="s">
        <v>175</v>
      </c>
      <c r="L64" s="6"/>
      <c r="M64" s="6"/>
      <c r="N64" s="6"/>
    </row>
    <row r="65" spans="1:14">
      <c r="A65" s="5">
        <f t="shared" si="0"/>
        <v>303</v>
      </c>
      <c r="B65" s="5" t="s">
        <v>170</v>
      </c>
      <c r="C65" s="5" t="s">
        <v>29</v>
      </c>
      <c r="D65" s="5" t="s">
        <v>177</v>
      </c>
      <c r="E65" s="5" t="b">
        <v>1</v>
      </c>
      <c r="F65" s="22" t="b">
        <v>0</v>
      </c>
      <c r="G65" s="7" t="s">
        <v>178</v>
      </c>
      <c r="H65" s="5" t="s">
        <v>17</v>
      </c>
      <c r="I65" s="6" t="s">
        <v>18</v>
      </c>
      <c r="J65" s="5" t="s">
        <v>179</v>
      </c>
      <c r="K65" s="10"/>
      <c r="L65" s="6"/>
      <c r="M65" s="6"/>
      <c r="N65" s="6"/>
    </row>
    <row r="66" spans="1:14">
      <c r="A66" s="5">
        <f t="shared" si="0"/>
        <v>304</v>
      </c>
      <c r="B66" s="5" t="s">
        <v>170</v>
      </c>
      <c r="C66" s="5" t="s">
        <v>29</v>
      </c>
      <c r="D66" s="5" t="s">
        <v>180</v>
      </c>
      <c r="E66" s="5" t="b">
        <v>1</v>
      </c>
      <c r="F66" s="22" t="b">
        <v>0</v>
      </c>
      <c r="G66" s="7" t="s">
        <v>181</v>
      </c>
      <c r="H66" s="5" t="s">
        <v>17</v>
      </c>
      <c r="I66" s="6" t="s">
        <v>18</v>
      </c>
      <c r="J66" s="5" t="s">
        <v>179</v>
      </c>
      <c r="K66" s="10"/>
      <c r="L66" s="6"/>
      <c r="M66" s="6"/>
      <c r="N66" s="6"/>
    </row>
    <row r="67" spans="1:14">
      <c r="A67" s="5">
        <f t="shared" si="0"/>
        <v>305</v>
      </c>
      <c r="B67" s="5" t="s">
        <v>170</v>
      </c>
      <c r="C67" s="5" t="s">
        <v>29</v>
      </c>
      <c r="D67" s="5" t="s">
        <v>182</v>
      </c>
      <c r="E67" s="5" t="b">
        <v>1</v>
      </c>
      <c r="F67" s="22" t="b">
        <v>0</v>
      </c>
      <c r="G67" s="7" t="s">
        <v>183</v>
      </c>
      <c r="H67" s="5" t="s">
        <v>17</v>
      </c>
      <c r="I67" s="6" t="s">
        <v>18</v>
      </c>
      <c r="J67" s="5" t="s">
        <v>184</v>
      </c>
      <c r="K67" s="10"/>
      <c r="L67" s="6"/>
      <c r="M67" s="6"/>
      <c r="N67" s="6"/>
    </row>
    <row r="68" spans="1:14">
      <c r="A68" s="5">
        <f t="shared" ref="A68:A115" si="1">A67+1</f>
        <v>306</v>
      </c>
      <c r="B68" s="5" t="s">
        <v>170</v>
      </c>
      <c r="C68" s="5" t="s">
        <v>39</v>
      </c>
      <c r="D68" s="5" t="s">
        <v>185</v>
      </c>
      <c r="E68" s="5" t="b">
        <v>1</v>
      </c>
      <c r="F68" s="22" t="b">
        <v>1</v>
      </c>
      <c r="G68" s="7" t="s">
        <v>186</v>
      </c>
      <c r="H68" s="5" t="s">
        <v>17</v>
      </c>
      <c r="I68" s="6" t="s">
        <v>18</v>
      </c>
      <c r="J68" s="5" t="s">
        <v>187</v>
      </c>
      <c r="K68" s="10"/>
      <c r="L68" s="6"/>
      <c r="M68" s="6"/>
      <c r="N68" s="6"/>
    </row>
    <row r="69" spans="1:14">
      <c r="A69" s="5">
        <f t="shared" si="1"/>
        <v>307</v>
      </c>
      <c r="B69" s="5" t="s">
        <v>170</v>
      </c>
      <c r="C69" s="5" t="s">
        <v>39</v>
      </c>
      <c r="D69" s="5" t="s">
        <v>188</v>
      </c>
      <c r="E69" s="5" t="b">
        <v>1</v>
      </c>
      <c r="F69" s="22" t="b">
        <v>1</v>
      </c>
      <c r="G69" s="7" t="s">
        <v>189</v>
      </c>
      <c r="H69" s="5" t="s">
        <v>17</v>
      </c>
      <c r="I69" s="6" t="s">
        <v>18</v>
      </c>
      <c r="J69" s="5" t="s">
        <v>190</v>
      </c>
      <c r="K69" s="10"/>
      <c r="L69" s="6"/>
      <c r="M69" s="6"/>
      <c r="N69" s="6"/>
    </row>
    <row r="70" spans="1:14">
      <c r="A70" s="5">
        <f t="shared" si="1"/>
        <v>308</v>
      </c>
      <c r="B70" s="5" t="s">
        <v>170</v>
      </c>
      <c r="C70" s="5" t="s">
        <v>43</v>
      </c>
      <c r="D70" s="5" t="s">
        <v>191</v>
      </c>
      <c r="E70" s="5" t="b">
        <v>1</v>
      </c>
      <c r="F70" s="22" t="b">
        <v>1</v>
      </c>
      <c r="G70" s="7"/>
      <c r="H70" s="5" t="s">
        <v>45</v>
      </c>
      <c r="I70" s="6" t="s">
        <v>80</v>
      </c>
      <c r="J70" s="5" t="s">
        <v>192</v>
      </c>
      <c r="K70" s="10"/>
      <c r="L70" s="6"/>
      <c r="M70" s="6"/>
      <c r="N70" s="6"/>
    </row>
    <row r="71" spans="1:14">
      <c r="A71" s="5">
        <f t="shared" si="1"/>
        <v>309</v>
      </c>
      <c r="B71" s="5" t="s">
        <v>170</v>
      </c>
      <c r="C71" s="5" t="s">
        <v>48</v>
      </c>
      <c r="D71" s="5" t="s">
        <v>193</v>
      </c>
      <c r="E71" s="5" t="b">
        <v>1</v>
      </c>
      <c r="F71" s="22" t="b">
        <v>1</v>
      </c>
      <c r="G71" s="7"/>
      <c r="H71" s="5" t="s">
        <v>45</v>
      </c>
      <c r="I71" s="6" t="s">
        <v>80</v>
      </c>
      <c r="J71" s="5" t="s">
        <v>194</v>
      </c>
      <c r="K71" s="10"/>
      <c r="L71" s="6"/>
      <c r="M71" s="6"/>
      <c r="N71" s="6"/>
    </row>
    <row r="72" spans="1:14">
      <c r="A72" s="5">
        <f t="shared" si="1"/>
        <v>310</v>
      </c>
      <c r="B72" s="5" t="s">
        <v>170</v>
      </c>
      <c r="C72" s="5" t="s">
        <v>86</v>
      </c>
      <c r="D72" s="5" t="s">
        <v>195</v>
      </c>
      <c r="E72" s="5" t="b">
        <v>1</v>
      </c>
      <c r="F72" s="22" t="b">
        <v>1</v>
      </c>
      <c r="G72" s="7"/>
      <c r="H72" s="5" t="s">
        <v>45</v>
      </c>
      <c r="I72" s="6" t="s">
        <v>18</v>
      </c>
      <c r="J72" s="5" t="s">
        <v>196</v>
      </c>
      <c r="K72" s="10"/>
      <c r="L72" s="6"/>
      <c r="M72" s="6"/>
      <c r="N72" s="6"/>
    </row>
    <row r="73" spans="1:14">
      <c r="A73" s="5">
        <f t="shared" si="1"/>
        <v>311</v>
      </c>
      <c r="B73" s="5" t="s">
        <v>170</v>
      </c>
      <c r="C73" s="5" t="s">
        <v>93</v>
      </c>
      <c r="D73" s="5" t="s">
        <v>197</v>
      </c>
      <c r="E73" s="5" t="b">
        <v>1</v>
      </c>
      <c r="F73" s="22" t="b">
        <v>1</v>
      </c>
      <c r="G73" s="7"/>
      <c r="H73" s="5" t="s">
        <v>45</v>
      </c>
      <c r="I73" s="6" t="s">
        <v>80</v>
      </c>
      <c r="J73" s="5" t="s">
        <v>198</v>
      </c>
      <c r="K73" s="10"/>
      <c r="L73" s="6"/>
      <c r="M73" s="6"/>
      <c r="N73" s="6"/>
    </row>
    <row r="74" spans="1:14">
      <c r="A74" s="5">
        <f t="shared" si="1"/>
        <v>312</v>
      </c>
      <c r="B74" s="5" t="s">
        <v>170</v>
      </c>
      <c r="C74" s="5" t="s">
        <v>100</v>
      </c>
      <c r="D74" s="5" t="s">
        <v>199</v>
      </c>
      <c r="E74" s="5" t="b">
        <v>1</v>
      </c>
      <c r="F74" s="22" t="b">
        <v>1</v>
      </c>
      <c r="G74" s="7"/>
      <c r="H74" s="5" t="s">
        <v>45</v>
      </c>
      <c r="I74" s="6" t="s">
        <v>80</v>
      </c>
      <c r="J74" s="5" t="s">
        <v>200</v>
      </c>
      <c r="K74" s="10"/>
      <c r="L74" s="6"/>
      <c r="M74" s="6"/>
      <c r="N74" s="6"/>
    </row>
    <row r="75" spans="1:14">
      <c r="A75" s="5">
        <f t="shared" si="1"/>
        <v>313</v>
      </c>
      <c r="B75" s="5" t="s">
        <v>170</v>
      </c>
      <c r="C75" s="5" t="s">
        <v>108</v>
      </c>
      <c r="D75" s="5" t="s">
        <v>201</v>
      </c>
      <c r="E75" s="5" t="b">
        <v>1</v>
      </c>
      <c r="F75" s="22" t="b">
        <v>1</v>
      </c>
      <c r="G75" s="7"/>
      <c r="H75" s="5" t="s">
        <v>17</v>
      </c>
      <c r="I75" s="6" t="s">
        <v>18</v>
      </c>
      <c r="J75" s="5" t="s">
        <v>202</v>
      </c>
      <c r="K75" s="10"/>
      <c r="L75" s="6"/>
      <c r="M75" s="6"/>
      <c r="N75" s="6"/>
    </row>
    <row r="76" spans="1:14">
      <c r="A76" s="5">
        <f t="shared" si="1"/>
        <v>314</v>
      </c>
      <c r="B76" s="5" t="s">
        <v>170</v>
      </c>
      <c r="C76" s="5" t="s">
        <v>51</v>
      </c>
      <c r="D76" s="5" t="s">
        <v>203</v>
      </c>
      <c r="E76" s="5" t="b">
        <v>1</v>
      </c>
      <c r="F76" s="22" t="b">
        <v>1</v>
      </c>
      <c r="G76" s="7"/>
      <c r="H76" s="5" t="s">
        <v>45</v>
      </c>
      <c r="I76" s="6" t="s">
        <v>80</v>
      </c>
      <c r="J76" s="5" t="s">
        <v>204</v>
      </c>
      <c r="K76" s="10"/>
      <c r="L76" s="6"/>
      <c r="M76" s="6"/>
      <c r="N76" s="6"/>
    </row>
    <row r="77" spans="1:14">
      <c r="A77" s="5">
        <f t="shared" si="1"/>
        <v>315</v>
      </c>
      <c r="B77" s="5" t="s">
        <v>170</v>
      </c>
      <c r="C77" s="5" t="s">
        <v>54</v>
      </c>
      <c r="D77" s="5" t="s">
        <v>205</v>
      </c>
      <c r="E77" s="5" t="b">
        <v>1</v>
      </c>
      <c r="F77" s="22" t="b">
        <v>1</v>
      </c>
      <c r="G77" s="7"/>
      <c r="H77" s="5" t="s">
        <v>45</v>
      </c>
      <c r="I77" s="6" t="s">
        <v>80</v>
      </c>
      <c r="J77" s="5" t="s">
        <v>206</v>
      </c>
      <c r="K77" s="10"/>
      <c r="L77" s="6"/>
      <c r="M77" s="6"/>
      <c r="N77" s="6"/>
    </row>
    <row r="78" spans="1:14">
      <c r="A78" s="5">
        <f t="shared" si="1"/>
        <v>316</v>
      </c>
      <c r="B78" s="5" t="s">
        <v>170</v>
      </c>
      <c r="C78" s="5" t="s">
        <v>57</v>
      </c>
      <c r="D78" s="5" t="s">
        <v>207</v>
      </c>
      <c r="E78" s="5" t="b">
        <v>1</v>
      </c>
      <c r="F78" s="22" t="b">
        <v>1</v>
      </c>
      <c r="G78" s="7"/>
      <c r="H78" s="5" t="s">
        <v>45</v>
      </c>
      <c r="I78" s="6" t="s">
        <v>80</v>
      </c>
      <c r="J78" s="5" t="s">
        <v>208</v>
      </c>
      <c r="K78" s="10"/>
      <c r="L78" s="6"/>
      <c r="M78" s="6"/>
      <c r="N78" s="6"/>
    </row>
    <row r="79" spans="1:14">
      <c r="A79" s="5"/>
      <c r="B79" s="5"/>
      <c r="C79" s="5"/>
      <c r="D79" s="5"/>
      <c r="E79" s="5" t="b">
        <v>0</v>
      </c>
      <c r="F79" s="22" t="b">
        <v>0</v>
      </c>
      <c r="G79" s="7"/>
      <c r="H79" s="5"/>
      <c r="I79" s="6"/>
      <c r="J79" s="13"/>
      <c r="K79" s="10"/>
      <c r="L79" s="6"/>
      <c r="M79" s="6"/>
      <c r="N79" s="6"/>
    </row>
    <row r="80" spans="1:14">
      <c r="A80" s="5">
        <v>401</v>
      </c>
      <c r="B80" s="5" t="s">
        <v>209</v>
      </c>
      <c r="C80" s="5" t="s">
        <v>15</v>
      </c>
      <c r="D80" s="5" t="s">
        <v>210</v>
      </c>
      <c r="E80" s="22" t="b">
        <v>1</v>
      </c>
      <c r="F80" s="22" t="b">
        <v>1</v>
      </c>
      <c r="G80" s="7"/>
      <c r="H80" s="5" t="s">
        <v>17</v>
      </c>
      <c r="I80" s="6" t="s">
        <v>18</v>
      </c>
      <c r="J80" s="5" t="s">
        <v>211</v>
      </c>
      <c r="K80" s="10"/>
      <c r="L80" s="6"/>
      <c r="M80" s="6"/>
      <c r="N80" s="6"/>
    </row>
    <row r="81" spans="1:14">
      <c r="A81" s="5">
        <f t="shared" si="1"/>
        <v>402</v>
      </c>
      <c r="B81" s="5" t="s">
        <v>209</v>
      </c>
      <c r="C81" s="5" t="s">
        <v>29</v>
      </c>
      <c r="D81" s="5" t="s">
        <v>212</v>
      </c>
      <c r="E81" s="22" t="b">
        <v>1</v>
      </c>
      <c r="F81" s="22" t="b">
        <v>1</v>
      </c>
      <c r="G81" s="7"/>
      <c r="H81" s="5" t="s">
        <v>17</v>
      </c>
      <c r="I81" s="6" t="s">
        <v>18</v>
      </c>
      <c r="J81" s="5" t="s">
        <v>213</v>
      </c>
      <c r="K81" s="10"/>
      <c r="L81" s="6"/>
      <c r="M81" s="6"/>
      <c r="N81" s="6"/>
    </row>
    <row r="82" spans="1:14">
      <c r="A82" s="5">
        <f t="shared" si="1"/>
        <v>403</v>
      </c>
      <c r="B82" s="5" t="s">
        <v>209</v>
      </c>
      <c r="C82" s="5" t="s">
        <v>39</v>
      </c>
      <c r="D82" s="5" t="s">
        <v>214</v>
      </c>
      <c r="E82" s="5" t="b">
        <v>1</v>
      </c>
      <c r="F82" s="22" t="b">
        <v>1</v>
      </c>
      <c r="G82" s="7"/>
      <c r="H82" s="5" t="s">
        <v>17</v>
      </c>
      <c r="I82" s="6" t="s">
        <v>18</v>
      </c>
      <c r="J82" s="5" t="s">
        <v>215</v>
      </c>
      <c r="K82" s="10"/>
      <c r="L82" s="6"/>
      <c r="M82" s="6"/>
      <c r="N82" s="6"/>
    </row>
    <row r="83" spans="1:14">
      <c r="A83" s="5">
        <f t="shared" si="1"/>
        <v>404</v>
      </c>
      <c r="B83" s="5" t="s">
        <v>209</v>
      </c>
      <c r="C83" s="5" t="s">
        <v>43</v>
      </c>
      <c r="D83" s="5" t="s">
        <v>216</v>
      </c>
      <c r="E83" s="5" t="b">
        <v>1</v>
      </c>
      <c r="F83" s="22" t="b">
        <v>1</v>
      </c>
      <c r="G83" s="7"/>
      <c r="H83" s="5" t="s">
        <v>45</v>
      </c>
      <c r="I83" s="6" t="s">
        <v>18</v>
      </c>
      <c r="J83" s="5" t="s">
        <v>217</v>
      </c>
      <c r="K83" s="10"/>
      <c r="L83" s="6"/>
      <c r="M83" s="6"/>
      <c r="N83" s="6"/>
    </row>
    <row r="84" spans="1:14">
      <c r="A84" s="5">
        <f t="shared" si="1"/>
        <v>405</v>
      </c>
      <c r="B84" s="5" t="s">
        <v>209</v>
      </c>
      <c r="C84" s="5" t="s">
        <v>48</v>
      </c>
      <c r="D84" s="5" t="s">
        <v>218</v>
      </c>
      <c r="E84" s="5" t="b">
        <v>1</v>
      </c>
      <c r="F84" s="22" t="b">
        <v>1</v>
      </c>
      <c r="G84" s="7"/>
      <c r="H84" s="5" t="s">
        <v>45</v>
      </c>
      <c r="I84" s="6" t="s">
        <v>18</v>
      </c>
      <c r="J84" s="5" t="s">
        <v>219</v>
      </c>
      <c r="K84" s="10"/>
      <c r="L84" s="6"/>
      <c r="M84" s="6"/>
      <c r="N84" s="6"/>
    </row>
    <row r="85" spans="1:14">
      <c r="A85" s="5">
        <f t="shared" si="1"/>
        <v>406</v>
      </c>
      <c r="B85" s="5" t="s">
        <v>209</v>
      </c>
      <c r="C85" s="5" t="s">
        <v>86</v>
      </c>
      <c r="D85" s="5" t="s">
        <v>220</v>
      </c>
      <c r="E85" s="5" t="b">
        <v>1</v>
      </c>
      <c r="F85" s="22" t="b">
        <v>1</v>
      </c>
      <c r="G85" s="7"/>
      <c r="H85" s="5" t="s">
        <v>17</v>
      </c>
      <c r="I85" s="6" t="s">
        <v>18</v>
      </c>
      <c r="J85" s="5" t="s">
        <v>221</v>
      </c>
      <c r="K85" s="10"/>
      <c r="L85" s="6"/>
      <c r="M85" s="6"/>
      <c r="N85" s="6"/>
    </row>
    <row r="86" spans="1:14">
      <c r="A86" s="5">
        <f t="shared" si="1"/>
        <v>407</v>
      </c>
      <c r="B86" s="5" t="s">
        <v>209</v>
      </c>
      <c r="C86" s="5" t="s">
        <v>100</v>
      </c>
      <c r="D86" s="5" t="s">
        <v>222</v>
      </c>
      <c r="E86" s="5" t="b">
        <v>1</v>
      </c>
      <c r="F86" s="22" t="b">
        <v>1</v>
      </c>
      <c r="G86" s="7"/>
      <c r="H86" s="5" t="s">
        <v>45</v>
      </c>
      <c r="I86" s="6" t="s">
        <v>80</v>
      </c>
      <c r="J86" s="5" t="s">
        <v>223</v>
      </c>
      <c r="K86" s="10"/>
      <c r="L86" s="6"/>
      <c r="M86" s="6"/>
      <c r="N86" s="6"/>
    </row>
    <row r="87" spans="1:14">
      <c r="A87" s="5">
        <f t="shared" si="1"/>
        <v>408</v>
      </c>
      <c r="B87" s="5" t="s">
        <v>209</v>
      </c>
      <c r="C87" s="5" t="s">
        <v>108</v>
      </c>
      <c r="D87" s="5" t="s">
        <v>224</v>
      </c>
      <c r="E87" s="5" t="b">
        <v>1</v>
      </c>
      <c r="F87" s="22" t="b">
        <v>1</v>
      </c>
      <c r="G87" s="7"/>
      <c r="H87" s="5" t="s">
        <v>17</v>
      </c>
      <c r="I87" s="6" t="s">
        <v>18</v>
      </c>
      <c r="J87" s="5" t="s">
        <v>225</v>
      </c>
      <c r="K87" s="10"/>
      <c r="L87" s="6"/>
      <c r="M87" s="6"/>
      <c r="N87" s="6"/>
    </row>
    <row r="88" spans="1:14">
      <c r="A88" s="5">
        <f t="shared" si="1"/>
        <v>409</v>
      </c>
      <c r="B88" s="5" t="s">
        <v>209</v>
      </c>
      <c r="C88" s="5" t="s">
        <v>51</v>
      </c>
      <c r="D88" s="5" t="s">
        <v>226</v>
      </c>
      <c r="E88" s="5" t="b">
        <v>1</v>
      </c>
      <c r="F88" s="22" t="b">
        <v>1</v>
      </c>
      <c r="G88" s="7"/>
      <c r="H88" s="5" t="s">
        <v>45</v>
      </c>
      <c r="I88" s="6" t="s">
        <v>80</v>
      </c>
      <c r="J88" s="5" t="s">
        <v>227</v>
      </c>
      <c r="K88" s="10"/>
      <c r="L88" s="6"/>
      <c r="M88" s="6"/>
      <c r="N88" s="6"/>
    </row>
    <row r="89" spans="1:14">
      <c r="A89" s="5">
        <f t="shared" si="1"/>
        <v>410</v>
      </c>
      <c r="B89" s="5" t="s">
        <v>209</v>
      </c>
      <c r="C89" s="5" t="s">
        <v>54</v>
      </c>
      <c r="D89" s="5" t="s">
        <v>228</v>
      </c>
      <c r="E89" s="5" t="b">
        <v>1</v>
      </c>
      <c r="F89" s="22" t="b">
        <v>1</v>
      </c>
      <c r="G89" s="7"/>
      <c r="H89" s="5" t="s">
        <v>45</v>
      </c>
      <c r="I89" s="6" t="s">
        <v>80</v>
      </c>
      <c r="J89" s="5" t="s">
        <v>229</v>
      </c>
      <c r="K89" s="10"/>
      <c r="L89" s="6"/>
      <c r="M89" s="6"/>
      <c r="N89" s="6"/>
    </row>
    <row r="90" spans="1:14">
      <c r="A90" s="5">
        <f t="shared" si="1"/>
        <v>411</v>
      </c>
      <c r="B90" s="5" t="s">
        <v>209</v>
      </c>
      <c r="C90" s="5" t="s">
        <v>57</v>
      </c>
      <c r="D90" s="5" t="s">
        <v>230</v>
      </c>
      <c r="E90" s="5" t="b">
        <v>1</v>
      </c>
      <c r="F90" s="22" t="b">
        <v>1</v>
      </c>
      <c r="G90" s="7"/>
      <c r="H90" s="5" t="s">
        <v>45</v>
      </c>
      <c r="I90" s="6" t="s">
        <v>80</v>
      </c>
      <c r="J90" s="5" t="s">
        <v>231</v>
      </c>
      <c r="K90" s="10"/>
      <c r="L90" s="6"/>
      <c r="M90" s="6"/>
      <c r="N90" s="6"/>
    </row>
    <row r="91" spans="1:14">
      <c r="A91" s="5"/>
      <c r="B91" s="5"/>
      <c r="C91" s="5"/>
      <c r="D91" s="5"/>
      <c r="E91" s="5" t="b">
        <v>0</v>
      </c>
      <c r="F91" s="22" t="b">
        <v>0</v>
      </c>
      <c r="G91" s="7"/>
      <c r="H91" s="5"/>
      <c r="I91" s="6"/>
      <c r="J91" s="13"/>
      <c r="K91" s="10"/>
      <c r="L91" s="6"/>
      <c r="M91" s="6"/>
      <c r="N91" s="6"/>
    </row>
    <row r="92" spans="1:14">
      <c r="A92" s="5">
        <v>501</v>
      </c>
      <c r="B92" s="5" t="s">
        <v>232</v>
      </c>
      <c r="C92" s="5" t="s">
        <v>15</v>
      </c>
      <c r="D92" s="5" t="s">
        <v>233</v>
      </c>
      <c r="E92" s="22" t="b">
        <v>1</v>
      </c>
      <c r="F92" s="22" t="b">
        <v>1</v>
      </c>
      <c r="G92" s="7"/>
      <c r="H92" s="5" t="s">
        <v>234</v>
      </c>
      <c r="I92" s="6" t="s">
        <v>18</v>
      </c>
      <c r="J92" s="5" t="s">
        <v>235</v>
      </c>
      <c r="K92" s="10"/>
      <c r="L92" s="6"/>
      <c r="M92" s="6"/>
      <c r="N92" s="6"/>
    </row>
    <row r="93" spans="1:14">
      <c r="A93" s="5">
        <f t="shared" si="1"/>
        <v>502</v>
      </c>
      <c r="B93" s="5" t="s">
        <v>232</v>
      </c>
      <c r="C93" s="5" t="s">
        <v>29</v>
      </c>
      <c r="D93" s="5" t="s">
        <v>236</v>
      </c>
      <c r="E93" s="22" t="b">
        <v>1</v>
      </c>
      <c r="F93" s="22" t="b">
        <v>1</v>
      </c>
      <c r="G93" s="7"/>
      <c r="H93" s="5" t="s">
        <v>234</v>
      </c>
      <c r="I93" s="6" t="s">
        <v>18</v>
      </c>
      <c r="J93" s="5" t="s">
        <v>237</v>
      </c>
      <c r="K93" s="10"/>
      <c r="L93" s="6"/>
      <c r="M93" s="6"/>
      <c r="N93" s="6"/>
    </row>
    <row r="94" spans="1:14">
      <c r="A94" s="5">
        <f t="shared" si="1"/>
        <v>503</v>
      </c>
      <c r="B94" s="5" t="s">
        <v>232</v>
      </c>
      <c r="C94" s="5" t="s">
        <v>238</v>
      </c>
      <c r="D94" s="5" t="s">
        <v>239</v>
      </c>
      <c r="E94" s="5" t="b">
        <v>1</v>
      </c>
      <c r="F94" s="22" t="b">
        <v>1</v>
      </c>
      <c r="G94" s="7"/>
      <c r="H94" s="5" t="s">
        <v>234</v>
      </c>
      <c r="I94" s="6" t="s">
        <v>18</v>
      </c>
      <c r="J94" s="5" t="s">
        <v>240</v>
      </c>
      <c r="K94" s="10"/>
      <c r="L94" s="6"/>
      <c r="M94" s="6"/>
      <c r="N94" s="6"/>
    </row>
    <row r="95" spans="1:14">
      <c r="A95" s="5">
        <f t="shared" si="1"/>
        <v>504</v>
      </c>
      <c r="B95" s="5" t="s">
        <v>232</v>
      </c>
      <c r="C95" s="5" t="s">
        <v>43</v>
      </c>
      <c r="D95" s="5" t="s">
        <v>241</v>
      </c>
      <c r="E95" s="5" t="b">
        <v>1</v>
      </c>
      <c r="F95" s="22" t="b">
        <v>1</v>
      </c>
      <c r="G95" s="7"/>
      <c r="H95" s="5" t="s">
        <v>234</v>
      </c>
      <c r="I95" s="6" t="s">
        <v>18</v>
      </c>
      <c r="J95" s="5" t="s">
        <v>242</v>
      </c>
      <c r="K95" s="10"/>
      <c r="L95" s="6"/>
      <c r="M95" s="6"/>
      <c r="N95" s="6"/>
    </row>
    <row r="96" spans="1:14">
      <c r="A96" s="5">
        <f t="shared" si="1"/>
        <v>505</v>
      </c>
      <c r="B96" s="5" t="s">
        <v>232</v>
      </c>
      <c r="C96" s="5" t="s">
        <v>43</v>
      </c>
      <c r="D96" s="5" t="s">
        <v>243</v>
      </c>
      <c r="E96" s="5" t="b">
        <v>1</v>
      </c>
      <c r="F96" s="22" t="b">
        <v>1</v>
      </c>
      <c r="G96" s="7" t="s">
        <v>244</v>
      </c>
      <c r="H96" s="5" t="s">
        <v>234</v>
      </c>
      <c r="I96" s="6" t="s">
        <v>18</v>
      </c>
      <c r="J96" s="5" t="s">
        <v>245</v>
      </c>
      <c r="K96" s="10"/>
      <c r="L96" s="6"/>
      <c r="M96" s="6"/>
      <c r="N96" s="6"/>
    </row>
    <row r="97" spans="1:14">
      <c r="A97" s="5">
        <f t="shared" si="1"/>
        <v>506</v>
      </c>
      <c r="B97" s="5" t="s">
        <v>232</v>
      </c>
      <c r="C97" s="5" t="s">
        <v>48</v>
      </c>
      <c r="D97" s="5" t="s">
        <v>246</v>
      </c>
      <c r="E97" s="5" t="b">
        <v>1</v>
      </c>
      <c r="F97" s="22" t="b">
        <v>1</v>
      </c>
      <c r="G97" s="7"/>
      <c r="H97" s="5" t="s">
        <v>234</v>
      </c>
      <c r="I97" s="6" t="s">
        <v>18</v>
      </c>
      <c r="J97" s="5" t="s">
        <v>247</v>
      </c>
      <c r="K97" s="10"/>
      <c r="L97" s="6"/>
      <c r="M97" s="6"/>
      <c r="N97" s="6"/>
    </row>
    <row r="98" spans="1:14">
      <c r="A98" s="5">
        <f t="shared" si="1"/>
        <v>507</v>
      </c>
      <c r="B98" s="5" t="s">
        <v>232</v>
      </c>
      <c r="C98" s="5" t="s">
        <v>51</v>
      </c>
      <c r="D98" s="5" t="s">
        <v>248</v>
      </c>
      <c r="E98" s="5" t="b">
        <v>1</v>
      </c>
      <c r="F98" s="22" t="b">
        <v>1</v>
      </c>
      <c r="G98" s="7"/>
      <c r="H98" s="5" t="s">
        <v>234</v>
      </c>
      <c r="I98" s="6" t="s">
        <v>18</v>
      </c>
      <c r="J98" s="5" t="s">
        <v>249</v>
      </c>
      <c r="K98" s="10"/>
      <c r="L98" s="6"/>
      <c r="M98" s="6"/>
      <c r="N98" s="6"/>
    </row>
    <row r="99" spans="1:14">
      <c r="A99" s="5">
        <f t="shared" si="1"/>
        <v>508</v>
      </c>
      <c r="B99" s="5" t="s">
        <v>232</v>
      </c>
      <c r="C99" s="5" t="s">
        <v>39</v>
      </c>
      <c r="D99" s="5" t="s">
        <v>250</v>
      </c>
      <c r="E99" s="5" t="b">
        <v>1</v>
      </c>
      <c r="F99" s="22" t="b">
        <v>0</v>
      </c>
      <c r="G99" s="7"/>
      <c r="H99" s="5" t="s">
        <v>234</v>
      </c>
      <c r="I99" s="6" t="s">
        <v>18</v>
      </c>
      <c r="J99" s="5" t="s">
        <v>251</v>
      </c>
      <c r="K99" s="10"/>
      <c r="L99" s="6"/>
      <c r="M99" s="6"/>
      <c r="N99" s="6"/>
    </row>
    <row r="100" spans="1:14">
      <c r="A100" s="5">
        <f t="shared" si="1"/>
        <v>509</v>
      </c>
      <c r="B100" s="5" t="s">
        <v>232</v>
      </c>
      <c r="C100" s="5" t="s">
        <v>26</v>
      </c>
      <c r="D100" s="5" t="s">
        <v>252</v>
      </c>
      <c r="E100" s="5" t="b">
        <v>0</v>
      </c>
      <c r="F100" s="22" t="b">
        <v>1</v>
      </c>
      <c r="G100" s="7"/>
      <c r="H100" s="5" t="s">
        <v>234</v>
      </c>
      <c r="I100" s="6" t="s">
        <v>18</v>
      </c>
      <c r="J100" s="5" t="s">
        <v>253</v>
      </c>
      <c r="K100" s="10"/>
      <c r="L100" s="6"/>
      <c r="M100" s="6"/>
      <c r="N100" s="6"/>
    </row>
    <row r="101" spans="1:14">
      <c r="A101" s="5">
        <f t="shared" si="1"/>
        <v>510</v>
      </c>
      <c r="B101" s="5" t="s">
        <v>232</v>
      </c>
      <c r="C101" s="5" t="s">
        <v>23</v>
      </c>
      <c r="D101" s="5" t="s">
        <v>254</v>
      </c>
      <c r="E101" s="5" t="b">
        <v>1</v>
      </c>
      <c r="F101" s="22" t="b">
        <v>0</v>
      </c>
      <c r="G101" s="7"/>
      <c r="H101" s="5" t="s">
        <v>234</v>
      </c>
      <c r="I101" s="6" t="s">
        <v>18</v>
      </c>
      <c r="J101" s="5" t="s">
        <v>255</v>
      </c>
      <c r="K101" s="10"/>
      <c r="L101" s="6"/>
      <c r="M101" s="6"/>
      <c r="N101" s="6"/>
    </row>
    <row r="102" spans="1:14">
      <c r="A102" s="5">
        <f t="shared" si="1"/>
        <v>511</v>
      </c>
      <c r="B102" s="5" t="s">
        <v>232</v>
      </c>
      <c r="C102" s="5" t="s">
        <v>93</v>
      </c>
      <c r="D102" s="5" t="s">
        <v>256</v>
      </c>
      <c r="E102" s="5" t="b">
        <v>1</v>
      </c>
      <c r="F102" s="22" t="b">
        <v>0</v>
      </c>
      <c r="G102" s="7"/>
      <c r="H102" s="5" t="s">
        <v>234</v>
      </c>
      <c r="I102" s="6" t="s">
        <v>18</v>
      </c>
      <c r="J102" s="5" t="s">
        <v>257</v>
      </c>
      <c r="K102" s="10"/>
      <c r="L102" s="6"/>
      <c r="M102" s="6"/>
      <c r="N102" s="6"/>
    </row>
    <row r="103" spans="1:14">
      <c r="A103" s="5">
        <f t="shared" si="1"/>
        <v>512</v>
      </c>
      <c r="B103" s="5" t="s">
        <v>232</v>
      </c>
      <c r="C103" s="5" t="s">
        <v>100</v>
      </c>
      <c r="D103" s="5" t="s">
        <v>258</v>
      </c>
      <c r="E103" s="5" t="b">
        <v>1</v>
      </c>
      <c r="F103" s="22" t="b">
        <v>1</v>
      </c>
      <c r="G103" s="7"/>
      <c r="H103" s="5"/>
      <c r="I103" s="6"/>
      <c r="J103" s="5" t="s">
        <v>259</v>
      </c>
      <c r="K103" s="10"/>
      <c r="L103" s="6"/>
      <c r="M103" s="6"/>
      <c r="N103" s="6"/>
    </row>
    <row r="104" spans="1:14">
      <c r="A104" s="5"/>
      <c r="B104" s="5"/>
      <c r="C104" s="5"/>
      <c r="D104" s="5"/>
      <c r="E104" s="5" t="b">
        <v>0</v>
      </c>
      <c r="F104" s="22" t="b">
        <v>0</v>
      </c>
      <c r="G104" s="7"/>
      <c r="H104" s="5"/>
      <c r="I104" s="6"/>
      <c r="J104" s="13"/>
      <c r="K104" s="10"/>
      <c r="L104" s="6"/>
      <c r="M104" s="6"/>
      <c r="N104" s="6"/>
    </row>
    <row r="105" spans="1:14">
      <c r="A105" s="5">
        <v>601</v>
      </c>
      <c r="B105" s="5" t="s">
        <v>260</v>
      </c>
      <c r="C105" s="5" t="s">
        <v>15</v>
      </c>
      <c r="D105" s="5" t="s">
        <v>261</v>
      </c>
      <c r="E105" s="22" t="b">
        <v>1</v>
      </c>
      <c r="F105" s="22" t="b">
        <v>1</v>
      </c>
      <c r="G105" s="7"/>
      <c r="H105" s="5" t="s">
        <v>234</v>
      </c>
      <c r="I105" s="6" t="s">
        <v>18</v>
      </c>
      <c r="J105" s="5" t="s">
        <v>262</v>
      </c>
      <c r="K105" s="10"/>
      <c r="L105" s="6"/>
      <c r="M105" s="6"/>
      <c r="N105" s="6"/>
    </row>
    <row r="106" spans="1:14">
      <c r="A106" s="5">
        <f t="shared" si="1"/>
        <v>602</v>
      </c>
      <c r="B106" s="5" t="s">
        <v>260</v>
      </c>
      <c r="C106" s="5" t="s">
        <v>29</v>
      </c>
      <c r="D106" s="5" t="s">
        <v>263</v>
      </c>
      <c r="E106" s="22" t="b">
        <v>1</v>
      </c>
      <c r="F106" s="22" t="b">
        <v>1</v>
      </c>
      <c r="G106" s="7"/>
      <c r="H106" s="5" t="s">
        <v>234</v>
      </c>
      <c r="I106" s="6" t="s">
        <v>18</v>
      </c>
      <c r="J106" s="5" t="s">
        <v>264</v>
      </c>
      <c r="K106" s="10"/>
      <c r="L106" s="6"/>
      <c r="M106" s="6"/>
      <c r="N106" s="6"/>
    </row>
    <row r="107" spans="1:14">
      <c r="A107" s="5">
        <f t="shared" si="1"/>
        <v>603</v>
      </c>
      <c r="B107" s="5" t="s">
        <v>260</v>
      </c>
      <c r="C107" s="5" t="s">
        <v>39</v>
      </c>
      <c r="D107" s="5" t="s">
        <v>265</v>
      </c>
      <c r="E107" s="22" t="b">
        <v>1</v>
      </c>
      <c r="F107" s="22" t="b">
        <v>1</v>
      </c>
      <c r="G107" s="7"/>
      <c r="H107" s="5" t="s">
        <v>234</v>
      </c>
      <c r="I107" s="6" t="s">
        <v>18</v>
      </c>
      <c r="J107" s="5" t="s">
        <v>266</v>
      </c>
      <c r="K107" s="10"/>
      <c r="L107" s="6"/>
      <c r="M107" s="6"/>
      <c r="N107" s="6"/>
    </row>
    <row r="108" spans="1:14">
      <c r="A108" s="5">
        <f t="shared" si="1"/>
        <v>604</v>
      </c>
      <c r="B108" s="5" t="s">
        <v>260</v>
      </c>
      <c r="C108" s="15" t="s">
        <v>43</v>
      </c>
      <c r="D108" s="15" t="s">
        <v>267</v>
      </c>
      <c r="E108" s="15" t="b">
        <v>1</v>
      </c>
      <c r="F108" s="22" t="b">
        <v>1</v>
      </c>
      <c r="G108" s="16"/>
      <c r="H108" s="5" t="s">
        <v>45</v>
      </c>
      <c r="I108" s="6" t="s">
        <v>18</v>
      </c>
      <c r="J108" s="5" t="s">
        <v>268</v>
      </c>
      <c r="K108" s="16"/>
      <c r="L108" s="20"/>
      <c r="M108" s="21"/>
      <c r="N108" s="21"/>
    </row>
    <row r="109" spans="1:14">
      <c r="A109" s="5">
        <f t="shared" si="1"/>
        <v>605</v>
      </c>
      <c r="B109" s="5" t="s">
        <v>260</v>
      </c>
      <c r="C109" s="5" t="s">
        <v>48</v>
      </c>
      <c r="D109" s="5" t="s">
        <v>269</v>
      </c>
      <c r="E109" s="5" t="b">
        <v>1</v>
      </c>
      <c r="F109" s="22" t="b">
        <v>1</v>
      </c>
      <c r="G109" s="7"/>
      <c r="H109" s="5" t="s">
        <v>45</v>
      </c>
      <c r="I109" s="6" t="s">
        <v>18</v>
      </c>
      <c r="J109" s="5" t="s">
        <v>270</v>
      </c>
      <c r="K109" s="7"/>
      <c r="L109" s="22"/>
      <c r="M109" s="6"/>
      <c r="N109" s="6"/>
    </row>
    <row r="110" spans="1:14">
      <c r="A110" s="5">
        <f t="shared" si="1"/>
        <v>606</v>
      </c>
      <c r="B110" s="5" t="s">
        <v>260</v>
      </c>
      <c r="C110" s="5" t="s">
        <v>86</v>
      </c>
      <c r="D110" s="5" t="s">
        <v>271</v>
      </c>
      <c r="E110" s="5" t="b">
        <v>1</v>
      </c>
      <c r="F110" s="22" t="b">
        <v>1</v>
      </c>
      <c r="G110" s="7"/>
      <c r="H110" s="5" t="s">
        <v>234</v>
      </c>
      <c r="I110" s="6" t="s">
        <v>18</v>
      </c>
      <c r="J110" s="5" t="s">
        <v>272</v>
      </c>
      <c r="K110" s="7"/>
      <c r="L110" s="22"/>
      <c r="M110" s="6"/>
      <c r="N110" s="6"/>
    </row>
    <row r="111" spans="1:14">
      <c r="A111" s="5">
        <f t="shared" si="1"/>
        <v>607</v>
      </c>
      <c r="B111" s="5" t="s">
        <v>260</v>
      </c>
      <c r="C111" s="5" t="s">
        <v>86</v>
      </c>
      <c r="D111" s="5" t="s">
        <v>273</v>
      </c>
      <c r="E111" s="5" t="b">
        <v>1</v>
      </c>
      <c r="F111" s="22" t="b">
        <v>1</v>
      </c>
      <c r="G111" s="7"/>
      <c r="H111" s="5" t="s">
        <v>234</v>
      </c>
      <c r="I111" s="6" t="s">
        <v>18</v>
      </c>
      <c r="J111" s="5" t="s">
        <v>274</v>
      </c>
      <c r="K111" s="7"/>
      <c r="L111" s="22"/>
      <c r="M111" s="6"/>
      <c r="N111" s="6"/>
    </row>
    <row r="112" spans="1:14">
      <c r="A112" s="5">
        <f t="shared" si="1"/>
        <v>608</v>
      </c>
      <c r="B112" s="5" t="s">
        <v>260</v>
      </c>
      <c r="C112" s="5" t="s">
        <v>93</v>
      </c>
      <c r="D112" s="5" t="s">
        <v>275</v>
      </c>
      <c r="E112" s="5" t="b">
        <v>1</v>
      </c>
      <c r="F112" s="22" t="b">
        <v>1</v>
      </c>
      <c r="G112" s="7"/>
      <c r="H112" s="5" t="s">
        <v>45</v>
      </c>
      <c r="I112" s="6" t="s">
        <v>18</v>
      </c>
      <c r="J112" s="5" t="s">
        <v>276</v>
      </c>
      <c r="K112" s="7"/>
      <c r="L112" s="22"/>
      <c r="M112" s="6"/>
      <c r="N112" s="6"/>
    </row>
    <row r="113" spans="1:14">
      <c r="A113" s="5">
        <f t="shared" si="1"/>
        <v>609</v>
      </c>
      <c r="B113" s="5" t="s">
        <v>260</v>
      </c>
      <c r="C113" s="5" t="s">
        <v>100</v>
      </c>
      <c r="D113" s="5" t="s">
        <v>277</v>
      </c>
      <c r="E113" s="5" t="b">
        <v>1</v>
      </c>
      <c r="F113" s="22" t="b">
        <v>1</v>
      </c>
      <c r="G113" s="7"/>
      <c r="H113" s="5" t="s">
        <v>45</v>
      </c>
      <c r="I113" s="6" t="s">
        <v>18</v>
      </c>
      <c r="J113" s="5" t="s">
        <v>278</v>
      </c>
      <c r="K113" s="7"/>
      <c r="L113" s="22"/>
      <c r="M113" s="6"/>
      <c r="N113" s="6"/>
    </row>
    <row r="114" spans="1:14">
      <c r="A114" s="5">
        <f t="shared" si="1"/>
        <v>610</v>
      </c>
      <c r="B114" s="5" t="s">
        <v>260</v>
      </c>
      <c r="C114" s="5" t="s">
        <v>108</v>
      </c>
      <c r="D114" s="5" t="s">
        <v>279</v>
      </c>
      <c r="E114" s="5" t="b">
        <v>1</v>
      </c>
      <c r="F114" s="22" t="b">
        <v>1</v>
      </c>
      <c r="G114" s="7"/>
      <c r="H114" s="5" t="s">
        <v>17</v>
      </c>
      <c r="I114" s="6" t="s">
        <v>18</v>
      </c>
      <c r="J114" s="5" t="s">
        <v>280</v>
      </c>
      <c r="K114" s="7"/>
      <c r="L114" s="22"/>
      <c r="M114" s="6"/>
      <c r="N114" s="6"/>
    </row>
    <row r="115" spans="1:14">
      <c r="A115" s="5">
        <f t="shared" si="1"/>
        <v>611</v>
      </c>
      <c r="B115" s="5" t="s">
        <v>260</v>
      </c>
      <c r="C115" s="5" t="s">
        <v>51</v>
      </c>
      <c r="D115" s="5" t="s">
        <v>281</v>
      </c>
      <c r="E115" s="5" t="b">
        <v>1</v>
      </c>
      <c r="F115" s="22" t="b">
        <v>0</v>
      </c>
      <c r="G115" s="7"/>
      <c r="H115" s="5" t="s">
        <v>45</v>
      </c>
      <c r="I115" s="6" t="s">
        <v>18</v>
      </c>
      <c r="J115" s="5" t="s">
        <v>282</v>
      </c>
      <c r="K115" s="7"/>
      <c r="L115" s="22"/>
      <c r="M115" s="6"/>
      <c r="N115" s="6"/>
    </row>
  </sheetData>
  <conditionalFormatting sqref="H2:H115">
    <cfRule type="containsText" dxfId="14" priority="2" operator="between" text="PENDENTE">
      <formula>NOT(ISERROR(SEARCH("PENDENTE",H2)))</formula>
    </cfRule>
    <cfRule type="containsText" dxfId="15" priority="3" operator="between" text="LIBERADO">
      <formula>NOT(ISERROR(SEARCH("LIBERADO",H2)))</formula>
    </cfRule>
  </conditionalFormatting>
  <conditionalFormatting sqref="K2;M2:N2;K3:N115;G63:G64">
    <cfRule type="cellIs" dxfId="16" priority="1" operator="equal">
      <formula>"-"</formula>
    </cfRule>
  </conditionalFormatting>
  <conditionalFormatting sqref="J16;J45;J62;J79;J91;J104">
    <cfRule type="cellIs" dxfId="17" priority="4" operator="equal">
      <formula>"Não"</formula>
    </cfRule>
    <cfRule type="cellIs" dxfId="18" priority="5" operator="equal">
      <formula>"Sim"</formula>
    </cfRule>
  </conditionalFormatting>
  <pageMargins left="0.511811024" right="0.511811024" top="0.787401575" bottom="0.787401575" header="0.31496062" footer="0.31496062"/>
  <pageSetup paperSize="9" orientation="portrait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9"/>
  <sheetViews>
    <sheetView tabSelected="1" zoomScale="85" zoomScaleNormal="85" topLeftCell="A126" workbookViewId="0">
      <selection activeCell="O150" sqref="O150"/>
    </sheetView>
  </sheetViews>
  <sheetFormatPr defaultColWidth="9" defaultRowHeight="14.1"/>
  <cols>
    <col min="1" max="2" width="13.2894736842105" customWidth="1"/>
    <col min="3" max="3" width="26.2631578947368" customWidth="1"/>
    <col min="4" max="4" width="17.3157894736842" customWidth="1"/>
    <col min="5" max="5" width="27.140350877193" customWidth="1"/>
    <col min="6" max="6" width="97.8947368421053" customWidth="1"/>
    <col min="7" max="7" width="10.5701754385965" customWidth="1"/>
    <col min="8" max="8" width="15.8508771929825" style="1" customWidth="1"/>
    <col min="9" max="9" width="43.4649122807018" customWidth="1"/>
    <col min="10" max="10" width="21.2894736842105" customWidth="1"/>
    <col min="11" max="11" width="44.4298245614035" style="2" customWidth="1"/>
    <col min="12" max="12" width="33" customWidth="1"/>
    <col min="13" max="13" width="20.2894736842105" customWidth="1"/>
    <col min="14" max="14" width="36.859649122807" customWidth="1"/>
    <col min="15" max="15" width="56" customWidth="1"/>
  </cols>
  <sheetData>
    <row r="1" ht="30" customHeight="1" spans="1:15">
      <c r="A1" s="3" t="s">
        <v>0</v>
      </c>
      <c r="B1" s="3" t="s">
        <v>283</v>
      </c>
      <c r="C1" s="3" t="s">
        <v>284</v>
      </c>
      <c r="D1" s="3" t="s">
        <v>1</v>
      </c>
      <c r="E1" s="3" t="s">
        <v>2</v>
      </c>
      <c r="F1" s="3" t="s">
        <v>285</v>
      </c>
      <c r="G1" s="4" t="s">
        <v>286</v>
      </c>
      <c r="H1" s="3" t="s">
        <v>287</v>
      </c>
      <c r="I1" s="3" t="s">
        <v>3</v>
      </c>
      <c r="J1" s="3" t="s">
        <v>9</v>
      </c>
      <c r="K1" s="4" t="s">
        <v>288</v>
      </c>
      <c r="L1" s="3" t="s">
        <v>289</v>
      </c>
      <c r="M1" s="3" t="s">
        <v>290</v>
      </c>
      <c r="N1" s="3" t="s">
        <v>291</v>
      </c>
      <c r="O1" s="3" t="s">
        <v>13</v>
      </c>
    </row>
    <row r="2" spans="1:15">
      <c r="A2" s="5">
        <v>1</v>
      </c>
      <c r="B2" s="6">
        <v>45771</v>
      </c>
      <c r="C2" s="5" t="s">
        <v>292</v>
      </c>
      <c r="D2" s="5" t="s">
        <v>60</v>
      </c>
      <c r="E2" s="5" t="s">
        <v>43</v>
      </c>
      <c r="F2" s="7" t="s">
        <v>293</v>
      </c>
      <c r="G2" s="8" t="s">
        <v>294</v>
      </c>
      <c r="H2" s="9" t="str">
        <f>IF(G2="rvt","Sim","Não")</f>
        <v>Sim</v>
      </c>
      <c r="I2" s="9" t="str">
        <f>IF(H2="Não","-"," ")</f>
        <v> </v>
      </c>
      <c r="J2" s="5"/>
      <c r="K2" s="5"/>
      <c r="L2" s="10"/>
      <c r="M2" s="11"/>
      <c r="N2" s="6"/>
      <c r="O2" s="6"/>
    </row>
    <row r="3" spans="1:15">
      <c r="A3" s="5"/>
      <c r="B3" s="6">
        <v>45771</v>
      </c>
      <c r="C3" s="5" t="s">
        <v>292</v>
      </c>
      <c r="D3" s="5" t="s">
        <v>60</v>
      </c>
      <c r="E3" s="5" t="s">
        <v>43</v>
      </c>
      <c r="F3" s="7" t="s">
        <v>295</v>
      </c>
      <c r="G3" s="8" t="s">
        <v>296</v>
      </c>
      <c r="H3" s="9" t="str">
        <f>IF(G3="rvt","Sim","Não")</f>
        <v>Não</v>
      </c>
      <c r="I3" s="9" t="str">
        <f>IF(H3="Não","-"," ")</f>
        <v>-</v>
      </c>
      <c r="J3" s="5"/>
      <c r="K3" s="5"/>
      <c r="L3" s="10"/>
      <c r="M3" s="12"/>
      <c r="N3" s="6"/>
      <c r="O3" s="6"/>
    </row>
    <row r="4" spans="1:15">
      <c r="A4" s="5"/>
      <c r="B4" s="6">
        <v>45771</v>
      </c>
      <c r="C4" s="5" t="s">
        <v>292</v>
      </c>
      <c r="D4" s="5" t="s">
        <v>60</v>
      </c>
      <c r="E4" s="5" t="s">
        <v>43</v>
      </c>
      <c r="F4" s="7" t="s">
        <v>297</v>
      </c>
      <c r="G4" s="8" t="s">
        <v>296</v>
      </c>
      <c r="H4" s="9" t="str">
        <f>IF(G4="rvt","Sim","Não")</f>
        <v>Não</v>
      </c>
      <c r="I4" s="9" t="str">
        <f>IF(H4="Não","-"," ")</f>
        <v>-</v>
      </c>
      <c r="J4" s="5"/>
      <c r="K4" s="5"/>
      <c r="L4" s="10"/>
      <c r="M4" s="12"/>
      <c r="N4" s="6"/>
      <c r="O4" s="6"/>
    </row>
    <row r="5" spans="1:15">
      <c r="A5" s="5"/>
      <c r="B5" s="6">
        <v>45771</v>
      </c>
      <c r="C5" s="5" t="s">
        <v>292</v>
      </c>
      <c r="D5" s="5" t="s">
        <v>60</v>
      </c>
      <c r="E5" s="5" t="s">
        <v>43</v>
      </c>
      <c r="F5" s="7" t="s">
        <v>298</v>
      </c>
      <c r="G5" s="8" t="s">
        <v>296</v>
      </c>
      <c r="H5" s="9" t="str">
        <f>IF(G5="rvt","Sim","Não")</f>
        <v>Não</v>
      </c>
      <c r="I5" s="9" t="str">
        <f>IF(H5="Não","-"," ")</f>
        <v>-</v>
      </c>
      <c r="J5" s="5"/>
      <c r="K5" s="5"/>
      <c r="L5" s="10"/>
      <c r="M5" s="12"/>
      <c r="N5" s="6"/>
      <c r="O5" s="6"/>
    </row>
    <row r="6" spans="1:15">
      <c r="A6" s="5"/>
      <c r="B6" s="6">
        <v>45771</v>
      </c>
      <c r="C6" s="5" t="s">
        <v>292</v>
      </c>
      <c r="D6" s="5" t="s">
        <v>60</v>
      </c>
      <c r="E6" s="5" t="s">
        <v>43</v>
      </c>
      <c r="F6" s="7" t="s">
        <v>299</v>
      </c>
      <c r="G6" s="8" t="s">
        <v>296</v>
      </c>
      <c r="H6" s="9" t="str">
        <f>IF(G6="rvt","Sim","Não")</f>
        <v>Não</v>
      </c>
      <c r="I6" s="9" t="str">
        <f>IF(H6="Não","-"," ")</f>
        <v>-</v>
      </c>
      <c r="J6" s="5"/>
      <c r="K6" s="5"/>
      <c r="L6" s="10"/>
      <c r="M6" s="12"/>
      <c r="N6" s="6"/>
      <c r="O6" s="6"/>
    </row>
    <row r="7" spans="1:15">
      <c r="A7" s="5"/>
      <c r="B7" s="6">
        <v>45771</v>
      </c>
      <c r="C7" s="5" t="s">
        <v>292</v>
      </c>
      <c r="D7" s="5" t="s">
        <v>60</v>
      </c>
      <c r="E7" s="5" t="s">
        <v>43</v>
      </c>
      <c r="F7" s="7" t="s">
        <v>300</v>
      </c>
      <c r="G7" s="8" t="s">
        <v>296</v>
      </c>
      <c r="H7" s="9" t="str">
        <f>IF(G7="rvt","Sim","Não")</f>
        <v>Não</v>
      </c>
      <c r="I7" s="9" t="str">
        <f>IF(H7="Não","-"," ")</f>
        <v>-</v>
      </c>
      <c r="J7" s="5"/>
      <c r="K7" s="5"/>
      <c r="L7" s="10"/>
      <c r="M7" s="12"/>
      <c r="N7" s="6"/>
      <c r="O7" s="6"/>
    </row>
    <row r="8" spans="1:15">
      <c r="A8" s="5"/>
      <c r="B8" s="6">
        <v>45771</v>
      </c>
      <c r="C8" s="5" t="s">
        <v>292</v>
      </c>
      <c r="D8" s="5" t="s">
        <v>60</v>
      </c>
      <c r="E8" s="5" t="s">
        <v>43</v>
      </c>
      <c r="F8" s="7" t="s">
        <v>301</v>
      </c>
      <c r="G8" s="8" t="s">
        <v>296</v>
      </c>
      <c r="H8" s="9" t="str">
        <f>IF(G8="rvt","Sim","Não")</f>
        <v>Não</v>
      </c>
      <c r="I8" s="9" t="str">
        <f>IF(H8="Não","-"," ")</f>
        <v>-</v>
      </c>
      <c r="J8" s="5"/>
      <c r="K8" s="5"/>
      <c r="L8" s="10"/>
      <c r="M8" s="12"/>
      <c r="N8" s="6"/>
      <c r="O8" s="6"/>
    </row>
    <row r="9" spans="1:15">
      <c r="A9" s="5"/>
      <c r="B9" s="6">
        <v>45771</v>
      </c>
      <c r="C9" s="5" t="s">
        <v>292</v>
      </c>
      <c r="D9" s="5" t="s">
        <v>60</v>
      </c>
      <c r="E9" s="5" t="s">
        <v>43</v>
      </c>
      <c r="F9" s="7" t="s">
        <v>302</v>
      </c>
      <c r="G9" s="8" t="s">
        <v>296</v>
      </c>
      <c r="H9" s="9" t="str">
        <f>IF(G9="rvt","Sim","Não")</f>
        <v>Não</v>
      </c>
      <c r="I9" s="9" t="str">
        <f>IF(H9="Não","-"," ")</f>
        <v>-</v>
      </c>
      <c r="J9" s="5"/>
      <c r="K9" s="5"/>
      <c r="L9" s="10"/>
      <c r="M9" s="12"/>
      <c r="N9" s="6"/>
      <c r="O9" s="6"/>
    </row>
    <row r="10" spans="1:15">
      <c r="A10" s="5"/>
      <c r="B10" s="6">
        <v>45771</v>
      </c>
      <c r="C10" s="5" t="s">
        <v>292</v>
      </c>
      <c r="D10" s="5" t="s">
        <v>60</v>
      </c>
      <c r="E10" s="5" t="s">
        <v>43</v>
      </c>
      <c r="F10" s="7" t="s">
        <v>303</v>
      </c>
      <c r="G10" s="8" t="s">
        <v>296</v>
      </c>
      <c r="H10" s="9" t="str">
        <f>IF(G10="rvt","Sim","Não")</f>
        <v>Não</v>
      </c>
      <c r="I10" s="9" t="str">
        <f>IF(H10="Não","-"," ")</f>
        <v>-</v>
      </c>
      <c r="J10" s="5"/>
      <c r="K10" s="5"/>
      <c r="L10" s="10"/>
      <c r="M10" s="12"/>
      <c r="N10" s="6"/>
      <c r="O10" s="6"/>
    </row>
    <row r="11" spans="1:15">
      <c r="A11" s="5"/>
      <c r="B11" s="6">
        <v>45771</v>
      </c>
      <c r="C11" s="5" t="s">
        <v>292</v>
      </c>
      <c r="D11" s="5" t="s">
        <v>60</v>
      </c>
      <c r="E11" s="5" t="s">
        <v>43</v>
      </c>
      <c r="F11" s="7" t="s">
        <v>304</v>
      </c>
      <c r="G11" s="8" t="s">
        <v>296</v>
      </c>
      <c r="H11" s="9" t="str">
        <f>IF(G11="rvt","Sim","Não")</f>
        <v>Não</v>
      </c>
      <c r="I11" s="9" t="str">
        <f>IF(H11="Não","-"," ")</f>
        <v>-</v>
      </c>
      <c r="J11" s="5"/>
      <c r="K11" s="5"/>
      <c r="L11" s="10"/>
      <c r="M11" s="12"/>
      <c r="N11" s="6"/>
      <c r="O11" s="6"/>
    </row>
    <row r="12" spans="1:15">
      <c r="A12" s="5"/>
      <c r="B12" s="6">
        <v>45771</v>
      </c>
      <c r="C12" s="5" t="s">
        <v>292</v>
      </c>
      <c r="D12" s="5" t="s">
        <v>60</v>
      </c>
      <c r="E12" s="5" t="s">
        <v>43</v>
      </c>
      <c r="F12" s="7" t="s">
        <v>305</v>
      </c>
      <c r="G12" s="8" t="s">
        <v>296</v>
      </c>
      <c r="H12" s="9" t="str">
        <f>IF(G12="rvt","Sim","Não")</f>
        <v>Não</v>
      </c>
      <c r="I12" s="9" t="str">
        <f>IF(H12="Não","-"," ")</f>
        <v>-</v>
      </c>
      <c r="J12" s="5"/>
      <c r="K12" s="5"/>
      <c r="L12" s="10"/>
      <c r="M12" s="12"/>
      <c r="N12" s="6"/>
      <c r="O12" s="6"/>
    </row>
    <row r="13" spans="1:15">
      <c r="A13" s="5"/>
      <c r="B13" s="6">
        <v>45771</v>
      </c>
      <c r="C13" s="5" t="s">
        <v>292</v>
      </c>
      <c r="D13" s="5" t="s">
        <v>60</v>
      </c>
      <c r="E13" s="5" t="s">
        <v>43</v>
      </c>
      <c r="F13" s="7" t="s">
        <v>306</v>
      </c>
      <c r="G13" s="8" t="s">
        <v>296</v>
      </c>
      <c r="H13" s="9" t="str">
        <f>IF(G13="rvt","Sim","Não")</f>
        <v>Não</v>
      </c>
      <c r="I13" s="9" t="str">
        <f>IF(H13="Não","-"," ")</f>
        <v>-</v>
      </c>
      <c r="J13" s="5"/>
      <c r="K13" s="5"/>
      <c r="L13" s="10"/>
      <c r="M13" s="12"/>
      <c r="N13" s="6"/>
      <c r="O13" s="6"/>
    </row>
    <row r="14" spans="1:15">
      <c r="A14" s="5"/>
      <c r="B14" s="6">
        <v>45771</v>
      </c>
      <c r="C14" s="5" t="s">
        <v>292</v>
      </c>
      <c r="D14" s="5" t="s">
        <v>60</v>
      </c>
      <c r="E14" s="5" t="s">
        <v>43</v>
      </c>
      <c r="F14" s="7" t="s">
        <v>307</v>
      </c>
      <c r="G14" s="8" t="s">
        <v>296</v>
      </c>
      <c r="H14" s="9" t="str">
        <f>IF(G14="rvt","Sim","Não")</f>
        <v>Não</v>
      </c>
      <c r="I14" s="9" t="str">
        <f>IF(H14="Não","-"," ")</f>
        <v>-</v>
      </c>
      <c r="J14" s="5"/>
      <c r="K14" s="5"/>
      <c r="L14" s="10"/>
      <c r="M14" s="12"/>
      <c r="N14" s="6"/>
      <c r="O14" s="6"/>
    </row>
    <row r="15" spans="1:15">
      <c r="A15" s="5"/>
      <c r="B15" s="6">
        <v>45771</v>
      </c>
      <c r="C15" s="5" t="s">
        <v>292</v>
      </c>
      <c r="D15" s="5" t="s">
        <v>60</v>
      </c>
      <c r="E15" s="5" t="s">
        <v>43</v>
      </c>
      <c r="F15" s="7" t="s">
        <v>308</v>
      </c>
      <c r="G15" s="8" t="s">
        <v>296</v>
      </c>
      <c r="H15" s="9" t="str">
        <f>IF(G15="rvt","Sim","Não")</f>
        <v>Não</v>
      </c>
      <c r="I15" s="9" t="str">
        <f>IF(H15="Não","-"," ")</f>
        <v>-</v>
      </c>
      <c r="J15" s="5"/>
      <c r="K15" s="5"/>
      <c r="L15" s="10"/>
      <c r="M15" s="12"/>
      <c r="N15" s="6"/>
      <c r="O15" s="6"/>
    </row>
    <row r="16" spans="1:15">
      <c r="A16" s="5"/>
      <c r="B16" s="6">
        <v>45771</v>
      </c>
      <c r="C16" s="5" t="s">
        <v>292</v>
      </c>
      <c r="D16" s="5" t="s">
        <v>60</v>
      </c>
      <c r="E16" s="5" t="s">
        <v>43</v>
      </c>
      <c r="F16" s="7" t="s">
        <v>309</v>
      </c>
      <c r="G16" s="8" t="s">
        <v>296</v>
      </c>
      <c r="H16" s="9" t="str">
        <f>IF(G16="rvt","Sim","Não")</f>
        <v>Não</v>
      </c>
      <c r="I16" s="9" t="str">
        <f>IF(H16="Não","-"," ")</f>
        <v>-</v>
      </c>
      <c r="J16" s="5"/>
      <c r="K16" s="5"/>
      <c r="L16" s="10"/>
      <c r="M16" s="12"/>
      <c r="N16" s="6"/>
      <c r="O16" s="6"/>
    </row>
    <row r="17" spans="1:15">
      <c r="A17" s="5"/>
      <c r="B17" s="6">
        <v>45771</v>
      </c>
      <c r="C17" s="5" t="s">
        <v>292</v>
      </c>
      <c r="D17" s="5" t="s">
        <v>60</v>
      </c>
      <c r="E17" s="5" t="s">
        <v>43</v>
      </c>
      <c r="F17" s="7" t="s">
        <v>310</v>
      </c>
      <c r="G17" s="8" t="s">
        <v>296</v>
      </c>
      <c r="H17" s="9" t="str">
        <f>IF(G17="rvt","Sim","Não")</f>
        <v>Não</v>
      </c>
      <c r="I17" s="9" t="str">
        <f>IF(H17="Não","-"," ")</f>
        <v>-</v>
      </c>
      <c r="J17" s="5"/>
      <c r="K17" s="5"/>
      <c r="L17" s="10"/>
      <c r="M17" s="12"/>
      <c r="N17" s="6"/>
      <c r="O17" s="6"/>
    </row>
    <row r="18" spans="1:15">
      <c r="A18" s="5"/>
      <c r="B18" s="6">
        <v>45771</v>
      </c>
      <c r="C18" s="5" t="s">
        <v>292</v>
      </c>
      <c r="D18" s="5" t="s">
        <v>60</v>
      </c>
      <c r="E18" s="5" t="s">
        <v>43</v>
      </c>
      <c r="F18" s="7" t="s">
        <v>311</v>
      </c>
      <c r="G18" s="8" t="s">
        <v>296</v>
      </c>
      <c r="H18" s="9" t="str">
        <f>IF(G18="rvt","Sim","Não")</f>
        <v>Não</v>
      </c>
      <c r="I18" s="9" t="str">
        <f>IF(H18="Não","-"," ")</f>
        <v>-</v>
      </c>
      <c r="J18" s="5"/>
      <c r="K18" s="5"/>
      <c r="L18" s="10"/>
      <c r="M18" s="12"/>
      <c r="N18" s="6"/>
      <c r="O18" s="6"/>
    </row>
    <row r="19" spans="1:15">
      <c r="A19" s="5"/>
      <c r="B19" s="6">
        <v>45771</v>
      </c>
      <c r="C19" s="5" t="s">
        <v>292</v>
      </c>
      <c r="D19" s="5" t="s">
        <v>60</v>
      </c>
      <c r="E19" s="5" t="s">
        <v>43</v>
      </c>
      <c r="F19" s="7" t="s">
        <v>312</v>
      </c>
      <c r="G19" s="8" t="s">
        <v>296</v>
      </c>
      <c r="H19" s="9" t="str">
        <f>IF(G19="rvt","Sim","Não")</f>
        <v>Não</v>
      </c>
      <c r="I19" s="9" t="str">
        <f>IF(H19="Não","-"," ")</f>
        <v>-</v>
      </c>
      <c r="J19" s="5"/>
      <c r="K19" s="5"/>
      <c r="L19" s="10"/>
      <c r="M19" s="12"/>
      <c r="N19" s="6"/>
      <c r="O19" s="6"/>
    </row>
    <row r="20" spans="1:15">
      <c r="A20" s="5"/>
      <c r="B20" s="6">
        <v>45771</v>
      </c>
      <c r="C20" s="5" t="s">
        <v>292</v>
      </c>
      <c r="D20" s="5" t="s">
        <v>60</v>
      </c>
      <c r="E20" s="5" t="s">
        <v>43</v>
      </c>
      <c r="F20" s="7" t="s">
        <v>313</v>
      </c>
      <c r="G20" s="8" t="s">
        <v>296</v>
      </c>
      <c r="H20" s="9" t="str">
        <f>IF(G20="rvt","Sim","Não")</f>
        <v>Não</v>
      </c>
      <c r="I20" s="9" t="str">
        <f>IF(H20="Não","-"," ")</f>
        <v>-</v>
      </c>
      <c r="J20" s="5"/>
      <c r="K20" s="5"/>
      <c r="L20" s="10"/>
      <c r="M20" s="12"/>
      <c r="N20" s="6"/>
      <c r="O20" s="6"/>
    </row>
    <row r="21" spans="1:15">
      <c r="A21" s="5"/>
      <c r="B21" s="6">
        <v>45771</v>
      </c>
      <c r="C21" s="5" t="s">
        <v>292</v>
      </c>
      <c r="D21" s="5" t="s">
        <v>60</v>
      </c>
      <c r="E21" s="5" t="s">
        <v>43</v>
      </c>
      <c r="F21" s="7" t="s">
        <v>314</v>
      </c>
      <c r="G21" s="8" t="s">
        <v>296</v>
      </c>
      <c r="H21" s="9" t="str">
        <f>IF(G21="rvt","Sim","Não")</f>
        <v>Não</v>
      </c>
      <c r="I21" s="9" t="str">
        <f>IF(H21="Não","-"," ")</f>
        <v>-</v>
      </c>
      <c r="J21" s="5"/>
      <c r="K21" s="5"/>
      <c r="L21" s="10"/>
      <c r="M21" s="12"/>
      <c r="N21" s="6"/>
      <c r="O21" s="6"/>
    </row>
    <row r="22" spans="1:15">
      <c r="A22" s="5"/>
      <c r="B22" s="6">
        <v>45771</v>
      </c>
      <c r="C22" s="5" t="s">
        <v>292</v>
      </c>
      <c r="D22" s="5" t="s">
        <v>60</v>
      </c>
      <c r="E22" s="5" t="s">
        <v>43</v>
      </c>
      <c r="F22" s="7" t="s">
        <v>315</v>
      </c>
      <c r="G22" s="8" t="s">
        <v>296</v>
      </c>
      <c r="H22" s="9" t="str">
        <f>IF(G22="rvt","Sim","Não")</f>
        <v>Não</v>
      </c>
      <c r="I22" s="9" t="str">
        <f>IF(H22="Não","-"," ")</f>
        <v>-</v>
      </c>
      <c r="J22" s="5"/>
      <c r="K22" s="5"/>
      <c r="L22" s="10"/>
      <c r="M22" s="12"/>
      <c r="N22" s="6"/>
      <c r="O22" s="6"/>
    </row>
    <row r="23" spans="1:15">
      <c r="A23" s="5"/>
      <c r="B23" s="6">
        <v>45771</v>
      </c>
      <c r="C23" s="5" t="s">
        <v>292</v>
      </c>
      <c r="D23" s="5" t="s">
        <v>60</v>
      </c>
      <c r="E23" s="5" t="s">
        <v>43</v>
      </c>
      <c r="F23" s="7" t="s">
        <v>316</v>
      </c>
      <c r="G23" s="8" t="s">
        <v>317</v>
      </c>
      <c r="H23" s="9" t="str">
        <f>IF(G23="rvt","Sim","Não")</f>
        <v>Não</v>
      </c>
      <c r="I23" s="9" t="str">
        <f>IF(H23="Não","-"," ")</f>
        <v>-</v>
      </c>
      <c r="J23" s="5"/>
      <c r="K23" s="5"/>
      <c r="L23" s="10"/>
      <c r="M23" s="12"/>
      <c r="N23" s="6"/>
      <c r="O23" s="6"/>
    </row>
    <row r="24" spans="1:15">
      <c r="A24" s="5"/>
      <c r="B24" s="6">
        <v>45771</v>
      </c>
      <c r="C24" s="5" t="s">
        <v>292</v>
      </c>
      <c r="D24" s="5" t="s">
        <v>60</v>
      </c>
      <c r="E24" s="5" t="s">
        <v>43</v>
      </c>
      <c r="F24" s="7" t="s">
        <v>318</v>
      </c>
      <c r="G24" s="8" t="s">
        <v>317</v>
      </c>
      <c r="H24" s="9" t="str">
        <f>IF(G24="rvt","Sim","Não")</f>
        <v>Não</v>
      </c>
      <c r="I24" s="9" t="str">
        <f>IF(H24="Não","-"," ")</f>
        <v>-</v>
      </c>
      <c r="J24" s="5"/>
      <c r="K24" s="5"/>
      <c r="L24" s="10"/>
      <c r="M24" s="12"/>
      <c r="N24" s="6"/>
      <c r="O24" s="6"/>
    </row>
    <row r="25" spans="1:15">
      <c r="A25" s="5"/>
      <c r="B25" s="6">
        <v>45771</v>
      </c>
      <c r="C25" s="5" t="s">
        <v>292</v>
      </c>
      <c r="D25" s="5" t="s">
        <v>60</v>
      </c>
      <c r="E25" s="5" t="s">
        <v>43</v>
      </c>
      <c r="F25" s="7" t="s">
        <v>319</v>
      </c>
      <c r="G25" s="8" t="s">
        <v>317</v>
      </c>
      <c r="H25" s="9" t="str">
        <f>IF(G25="rvt","Sim","Não")</f>
        <v>Não</v>
      </c>
      <c r="I25" s="9" t="str">
        <f>IF(H25="Não","-"," ")</f>
        <v>-</v>
      </c>
      <c r="J25" s="5"/>
      <c r="K25" s="5"/>
      <c r="L25" s="10"/>
      <c r="M25" s="12"/>
      <c r="N25" s="6"/>
      <c r="O25" s="6"/>
    </row>
    <row r="26" spans="1:15">
      <c r="A26" s="5"/>
      <c r="B26" s="6">
        <v>45771</v>
      </c>
      <c r="C26" s="5" t="s">
        <v>292</v>
      </c>
      <c r="D26" s="5" t="s">
        <v>60</v>
      </c>
      <c r="E26" s="5" t="s">
        <v>43</v>
      </c>
      <c r="F26" s="7" t="s">
        <v>320</v>
      </c>
      <c r="G26" s="8" t="s">
        <v>317</v>
      </c>
      <c r="H26" s="9" t="str">
        <f>IF(G26="rvt","Sim","Não")</f>
        <v>Não</v>
      </c>
      <c r="I26" s="9" t="str">
        <f>IF(H26="Não","-"," ")</f>
        <v>-</v>
      </c>
      <c r="J26" s="5"/>
      <c r="K26" s="5"/>
      <c r="L26" s="10"/>
      <c r="M26" s="12"/>
      <c r="N26" s="6"/>
      <c r="O26" s="6"/>
    </row>
    <row r="27" spans="1:15">
      <c r="A27" s="5"/>
      <c r="B27" s="6">
        <v>45771</v>
      </c>
      <c r="C27" s="5" t="s">
        <v>292</v>
      </c>
      <c r="D27" s="5" t="s">
        <v>60</v>
      </c>
      <c r="E27" s="5" t="s">
        <v>43</v>
      </c>
      <c r="F27" s="7" t="s">
        <v>321</v>
      </c>
      <c r="G27" s="8" t="s">
        <v>317</v>
      </c>
      <c r="H27" s="9" t="str">
        <f>IF(G27="rvt","Sim","Não")</f>
        <v>Não</v>
      </c>
      <c r="I27" s="9" t="str">
        <f>IF(H27="Não","-"," ")</f>
        <v>-</v>
      </c>
      <c r="J27" s="5"/>
      <c r="K27" s="5"/>
      <c r="L27" s="10"/>
      <c r="M27" s="12"/>
      <c r="N27" s="6"/>
      <c r="O27" s="6"/>
    </row>
    <row r="28" spans="1:15">
      <c r="A28" s="5"/>
      <c r="B28" s="6">
        <v>45771</v>
      </c>
      <c r="C28" s="5" t="s">
        <v>292</v>
      </c>
      <c r="D28" s="5" t="s">
        <v>60</v>
      </c>
      <c r="E28" s="5" t="s">
        <v>43</v>
      </c>
      <c r="F28" s="7" t="s">
        <v>322</v>
      </c>
      <c r="G28" s="8" t="s">
        <v>317</v>
      </c>
      <c r="H28" s="9" t="str">
        <f>IF(G28="rvt","Sim","Não")</f>
        <v>Não</v>
      </c>
      <c r="I28" s="9" t="str">
        <f>IF(H28="Não","-"," ")</f>
        <v>-</v>
      </c>
      <c r="J28" s="5"/>
      <c r="K28" s="5"/>
      <c r="L28" s="10"/>
      <c r="M28" s="12"/>
      <c r="N28" s="6"/>
      <c r="O28" s="6"/>
    </row>
    <row r="29" spans="1:15">
      <c r="A29" s="5"/>
      <c r="B29" s="6">
        <v>45771</v>
      </c>
      <c r="C29" s="5" t="s">
        <v>292</v>
      </c>
      <c r="D29" s="5" t="s">
        <v>60</v>
      </c>
      <c r="E29" s="5" t="s">
        <v>43</v>
      </c>
      <c r="F29" s="7" t="s">
        <v>323</v>
      </c>
      <c r="G29" s="8" t="s">
        <v>317</v>
      </c>
      <c r="H29" s="9" t="str">
        <f>IF(G29="rvt","Sim","Não")</f>
        <v>Não</v>
      </c>
      <c r="I29" s="9" t="str">
        <f>IF(H29="Não","-"," ")</f>
        <v>-</v>
      </c>
      <c r="J29" s="5"/>
      <c r="K29" s="5"/>
      <c r="L29" s="10"/>
      <c r="M29" s="12"/>
      <c r="N29" s="6"/>
      <c r="O29" s="6"/>
    </row>
    <row r="30" spans="1:15">
      <c r="A30" s="5"/>
      <c r="B30" s="6">
        <v>45771</v>
      </c>
      <c r="C30" s="5" t="s">
        <v>292</v>
      </c>
      <c r="D30" s="5" t="s">
        <v>60</v>
      </c>
      <c r="E30" s="5" t="s">
        <v>43</v>
      </c>
      <c r="F30" s="7" t="s">
        <v>324</v>
      </c>
      <c r="G30" s="8" t="s">
        <v>317</v>
      </c>
      <c r="H30" s="9" t="str">
        <f>IF(G30="rvt","Sim","Não")</f>
        <v>Não</v>
      </c>
      <c r="I30" s="9" t="str">
        <f>IF(H30="Não","-"," ")</f>
        <v>-</v>
      </c>
      <c r="J30" s="5"/>
      <c r="K30" s="5"/>
      <c r="L30" s="10"/>
      <c r="M30" s="12"/>
      <c r="N30" s="6"/>
      <c r="O30" s="6"/>
    </row>
    <row r="31" spans="1:15">
      <c r="A31" s="5"/>
      <c r="B31" s="6">
        <v>45771</v>
      </c>
      <c r="C31" s="5" t="s">
        <v>292</v>
      </c>
      <c r="D31" s="5" t="s">
        <v>60</v>
      </c>
      <c r="E31" s="5" t="s">
        <v>43</v>
      </c>
      <c r="F31" s="7" t="s">
        <v>325</v>
      </c>
      <c r="G31" s="8" t="s">
        <v>317</v>
      </c>
      <c r="H31" s="9" t="str">
        <f>IF(G31="rvt","Sim","Não")</f>
        <v>Não</v>
      </c>
      <c r="I31" s="9" t="str">
        <f>IF(H31="Não","-"," ")</f>
        <v>-</v>
      </c>
      <c r="J31" s="5"/>
      <c r="K31" s="5"/>
      <c r="L31" s="10"/>
      <c r="M31" s="12"/>
      <c r="N31" s="6"/>
      <c r="O31" s="6"/>
    </row>
    <row r="32" spans="1:15">
      <c r="A32" s="5"/>
      <c r="B32" s="6">
        <v>45771</v>
      </c>
      <c r="C32" s="5" t="s">
        <v>292</v>
      </c>
      <c r="D32" s="5" t="s">
        <v>60</v>
      </c>
      <c r="E32" s="5" t="s">
        <v>43</v>
      </c>
      <c r="F32" s="7" t="s">
        <v>326</v>
      </c>
      <c r="G32" s="8" t="s">
        <v>317</v>
      </c>
      <c r="H32" s="9" t="str">
        <f>IF(G32="rvt","Sim","Não")</f>
        <v>Não</v>
      </c>
      <c r="I32" s="9" t="str">
        <f>IF(H32="Não","-"," ")</f>
        <v>-</v>
      </c>
      <c r="J32" s="5"/>
      <c r="K32" s="5"/>
      <c r="L32" s="10"/>
      <c r="M32" s="12"/>
      <c r="N32" s="6"/>
      <c r="O32" s="6"/>
    </row>
    <row r="33" spans="1:15">
      <c r="A33" s="5"/>
      <c r="B33" s="6">
        <v>45771</v>
      </c>
      <c r="C33" s="5" t="s">
        <v>292</v>
      </c>
      <c r="D33" s="5" t="s">
        <v>60</v>
      </c>
      <c r="E33" s="5" t="s">
        <v>43</v>
      </c>
      <c r="F33" s="7" t="s">
        <v>327</v>
      </c>
      <c r="G33" s="8" t="s">
        <v>317</v>
      </c>
      <c r="H33" s="9" t="str">
        <f>IF(G33="rvt","Sim","Não")</f>
        <v>Não</v>
      </c>
      <c r="I33" s="9" t="str">
        <f>IF(H33="Não","-"," ")</f>
        <v>-</v>
      </c>
      <c r="J33" s="5"/>
      <c r="K33" s="5"/>
      <c r="L33" s="10"/>
      <c r="M33" s="12"/>
      <c r="N33" s="6"/>
      <c r="O33" s="6"/>
    </row>
    <row r="34" spans="1:15">
      <c r="A34" s="5"/>
      <c r="B34" s="6">
        <v>45771</v>
      </c>
      <c r="C34" s="5" t="s">
        <v>292</v>
      </c>
      <c r="D34" s="5" t="s">
        <v>60</v>
      </c>
      <c r="E34" s="5" t="s">
        <v>43</v>
      </c>
      <c r="F34" s="7" t="s">
        <v>328</v>
      </c>
      <c r="G34" s="8" t="s">
        <v>317</v>
      </c>
      <c r="H34" s="9" t="str">
        <f>IF(G34="rvt","Sim","Não")</f>
        <v>Não</v>
      </c>
      <c r="I34" s="9" t="str">
        <f>IF(H34="Não","-"," ")</f>
        <v>-</v>
      </c>
      <c r="J34" s="5"/>
      <c r="K34" s="5"/>
      <c r="L34" s="10"/>
      <c r="M34" s="12"/>
      <c r="N34" s="6"/>
      <c r="O34" s="6"/>
    </row>
    <row r="35" spans="1:15">
      <c r="A35" s="5"/>
      <c r="B35" s="6">
        <v>45771</v>
      </c>
      <c r="C35" s="5" t="s">
        <v>292</v>
      </c>
      <c r="D35" s="5" t="s">
        <v>60</v>
      </c>
      <c r="E35" s="5" t="s">
        <v>43</v>
      </c>
      <c r="F35" s="7" t="s">
        <v>329</v>
      </c>
      <c r="G35" s="8" t="s">
        <v>317</v>
      </c>
      <c r="H35" s="9" t="str">
        <f>IF(G35="rvt","Sim","Não")</f>
        <v>Não</v>
      </c>
      <c r="I35" s="9" t="str">
        <f>IF(H35="Não","-"," ")</f>
        <v>-</v>
      </c>
      <c r="J35" s="5"/>
      <c r="K35" s="5"/>
      <c r="L35" s="10"/>
      <c r="M35" s="12"/>
      <c r="N35" s="6"/>
      <c r="O35" s="6"/>
    </row>
    <row r="36" spans="1:15">
      <c r="A36" s="5"/>
      <c r="B36" s="6">
        <v>45771</v>
      </c>
      <c r="C36" s="5" t="s">
        <v>292</v>
      </c>
      <c r="D36" s="5" t="s">
        <v>60</v>
      </c>
      <c r="E36" s="5" t="s">
        <v>43</v>
      </c>
      <c r="F36" s="7" t="s">
        <v>330</v>
      </c>
      <c r="G36" s="8" t="s">
        <v>317</v>
      </c>
      <c r="H36" s="9" t="str">
        <f>IF(G36="rvt","Sim","Não")</f>
        <v>Não</v>
      </c>
      <c r="I36" s="9" t="str">
        <f>IF(H36="Não","-"," ")</f>
        <v>-</v>
      </c>
      <c r="J36" s="5"/>
      <c r="K36" s="5"/>
      <c r="L36" s="10"/>
      <c r="M36" s="12"/>
      <c r="N36" s="6"/>
      <c r="O36" s="6"/>
    </row>
    <row r="37" spans="1:15">
      <c r="A37" s="5"/>
      <c r="B37" s="6">
        <v>45771</v>
      </c>
      <c r="C37" s="5" t="s">
        <v>292</v>
      </c>
      <c r="D37" s="5" t="s">
        <v>60</v>
      </c>
      <c r="E37" s="5" t="s">
        <v>43</v>
      </c>
      <c r="F37" s="7" t="s">
        <v>331</v>
      </c>
      <c r="G37" s="8" t="s">
        <v>317</v>
      </c>
      <c r="H37" s="9" t="str">
        <f>IF(G37="rvt","Sim","Não")</f>
        <v>Não</v>
      </c>
      <c r="I37" s="9" t="str">
        <f>IF(H37="Não","-"," ")</f>
        <v>-</v>
      </c>
      <c r="J37" s="5"/>
      <c r="K37" s="5"/>
      <c r="L37" s="10"/>
      <c r="M37" s="12"/>
      <c r="N37" s="6"/>
      <c r="O37" s="6"/>
    </row>
    <row r="38" spans="1:15">
      <c r="A38" s="5"/>
      <c r="B38" s="6">
        <v>45771</v>
      </c>
      <c r="C38" s="5" t="s">
        <v>292</v>
      </c>
      <c r="D38" s="5" t="s">
        <v>60</v>
      </c>
      <c r="E38" s="5" t="s">
        <v>43</v>
      </c>
      <c r="F38" s="7" t="s">
        <v>332</v>
      </c>
      <c r="G38" s="8" t="s">
        <v>317</v>
      </c>
      <c r="H38" s="9" t="str">
        <f>IF(G38="rvt","Sim","Não")</f>
        <v>Não</v>
      </c>
      <c r="I38" s="9" t="str">
        <f>IF(H38="Não","-"," ")</f>
        <v>-</v>
      </c>
      <c r="J38" s="5"/>
      <c r="K38" s="5"/>
      <c r="L38" s="10"/>
      <c r="M38" s="12"/>
      <c r="N38" s="6"/>
      <c r="O38" s="6"/>
    </row>
    <row r="39" spans="1:15">
      <c r="A39" s="5">
        <f>A2+1</f>
        <v>2</v>
      </c>
      <c r="B39" s="6">
        <v>45771</v>
      </c>
      <c r="C39" s="5" t="s">
        <v>292</v>
      </c>
      <c r="D39" s="5" t="s">
        <v>60</v>
      </c>
      <c r="E39" s="5" t="s">
        <v>43</v>
      </c>
      <c r="F39" s="7" t="s">
        <v>333</v>
      </c>
      <c r="G39" s="8" t="s">
        <v>317</v>
      </c>
      <c r="H39" s="9" t="str">
        <f>IF(G39="rvt","Sim","Não")</f>
        <v>Não</v>
      </c>
      <c r="I39" s="9" t="str">
        <f>IF(H39="Não","-"," ")</f>
        <v>-</v>
      </c>
      <c r="J39" s="6"/>
      <c r="K39" s="5"/>
      <c r="L39" s="10"/>
      <c r="M39" s="6"/>
      <c r="N39" s="6"/>
      <c r="O39" s="6"/>
    </row>
    <row r="40" spans="1:15">
      <c r="A40" s="5">
        <f>A39+1</f>
        <v>3</v>
      </c>
      <c r="B40" s="6">
        <v>45771</v>
      </c>
      <c r="C40" s="5" t="s">
        <v>292</v>
      </c>
      <c r="D40" s="5" t="s">
        <v>60</v>
      </c>
      <c r="E40" s="5" t="s">
        <v>43</v>
      </c>
      <c r="F40" s="7" t="s">
        <v>334</v>
      </c>
      <c r="G40" s="8" t="s">
        <v>317</v>
      </c>
      <c r="H40" s="9" t="str">
        <f>IF(G40="rvt","Sim","Não")</f>
        <v>Não</v>
      </c>
      <c r="I40" s="9" t="str">
        <f>IF(H40="Não","-"," ")</f>
        <v>-</v>
      </c>
      <c r="J40" s="6"/>
      <c r="K40" s="5"/>
      <c r="L40" s="10"/>
      <c r="M40" s="6"/>
      <c r="N40" s="6"/>
      <c r="O40" s="6"/>
    </row>
    <row r="41" spans="1:15">
      <c r="A41" s="5">
        <f>A40+1</f>
        <v>4</v>
      </c>
      <c r="B41" s="6">
        <v>45771</v>
      </c>
      <c r="C41" s="5" t="s">
        <v>292</v>
      </c>
      <c r="D41" s="5" t="s">
        <v>60</v>
      </c>
      <c r="E41" s="5" t="s">
        <v>43</v>
      </c>
      <c r="F41" s="7" t="s">
        <v>335</v>
      </c>
      <c r="G41" s="8" t="s">
        <v>317</v>
      </c>
      <c r="H41" s="9" t="str">
        <f>IF(G41="rvt","Sim","Não")</f>
        <v>Não</v>
      </c>
      <c r="I41" s="9" t="str">
        <f>IF(H41="Não","-"," ")</f>
        <v>-</v>
      </c>
      <c r="J41" s="6"/>
      <c r="K41" s="5"/>
      <c r="L41" s="10"/>
      <c r="M41" s="6"/>
      <c r="N41" s="6"/>
      <c r="O41" s="6"/>
    </row>
    <row r="42" spans="1:15">
      <c r="A42" s="5">
        <f>A41+1</f>
        <v>5</v>
      </c>
      <c r="B42" s="6">
        <v>45771</v>
      </c>
      <c r="C42" s="5" t="s">
        <v>292</v>
      </c>
      <c r="D42" s="5" t="s">
        <v>60</v>
      </c>
      <c r="E42" s="5" t="s">
        <v>43</v>
      </c>
      <c r="F42" s="7" t="s">
        <v>336</v>
      </c>
      <c r="G42" s="8" t="s">
        <v>317</v>
      </c>
      <c r="H42" s="9" t="str">
        <f>IF(G42="rvt","Sim","Não")</f>
        <v>Não</v>
      </c>
      <c r="I42" s="9" t="str">
        <f>IF(H42="Não","-"," ")</f>
        <v>-</v>
      </c>
      <c r="J42" s="6"/>
      <c r="K42" s="5"/>
      <c r="L42" s="10"/>
      <c r="M42" s="6"/>
      <c r="N42" s="6"/>
      <c r="O42" s="6"/>
    </row>
    <row r="43" spans="1:15">
      <c r="A43" s="5">
        <f>A42+1</f>
        <v>6</v>
      </c>
      <c r="B43" s="6">
        <v>45771</v>
      </c>
      <c r="C43" s="5" t="s">
        <v>292</v>
      </c>
      <c r="D43" s="5" t="s">
        <v>60</v>
      </c>
      <c r="E43" s="5" t="s">
        <v>48</v>
      </c>
      <c r="F43" s="7" t="s">
        <v>337</v>
      </c>
      <c r="G43" s="5" t="s">
        <v>294</v>
      </c>
      <c r="H43" s="9" t="str">
        <f>IF(G43="rvt","Sim","Não")</f>
        <v>Sim</v>
      </c>
      <c r="I43" s="9" t="str">
        <f>IF(H43="Não","-"," ")</f>
        <v> </v>
      </c>
      <c r="J43" s="6"/>
      <c r="K43" s="5"/>
      <c r="L43" s="10"/>
      <c r="M43" s="6"/>
      <c r="N43" s="6"/>
      <c r="O43" s="6"/>
    </row>
    <row r="44" spans="1:15">
      <c r="A44" s="5">
        <f>A43+1</f>
        <v>7</v>
      </c>
      <c r="B44" s="6">
        <v>45771</v>
      </c>
      <c r="C44" s="5" t="s">
        <v>292</v>
      </c>
      <c r="D44" s="5" t="s">
        <v>60</v>
      </c>
      <c r="E44" s="5" t="s">
        <v>48</v>
      </c>
      <c r="F44" s="7" t="s">
        <v>338</v>
      </c>
      <c r="G44" s="5" t="s">
        <v>317</v>
      </c>
      <c r="H44" s="9" t="str">
        <f>IF(G44="rvt","Sim","Não")</f>
        <v>Não</v>
      </c>
      <c r="I44" s="9" t="str">
        <f>IF(H44="Não","-"," ")</f>
        <v>-</v>
      </c>
      <c r="J44" s="6"/>
      <c r="K44" s="5"/>
      <c r="L44" s="10"/>
      <c r="M44" s="6"/>
      <c r="N44" s="6"/>
      <c r="O44" s="6"/>
    </row>
    <row r="45" spans="1:15">
      <c r="A45" s="5">
        <f>A44+1</f>
        <v>8</v>
      </c>
      <c r="B45" s="6">
        <v>45771</v>
      </c>
      <c r="C45" s="5" t="s">
        <v>292</v>
      </c>
      <c r="D45" s="5" t="s">
        <v>60</v>
      </c>
      <c r="E45" s="5" t="s">
        <v>48</v>
      </c>
      <c r="F45" s="7" t="s">
        <v>339</v>
      </c>
      <c r="G45" s="5" t="s">
        <v>317</v>
      </c>
      <c r="H45" s="9" t="str">
        <f>IF(G45="rvt","Sim","Não")</f>
        <v>Não</v>
      </c>
      <c r="I45" s="9" t="str">
        <f>IF(H45="Não","-"," ")</f>
        <v>-</v>
      </c>
      <c r="J45" s="6"/>
      <c r="K45" s="5"/>
      <c r="L45" s="10"/>
      <c r="M45" s="6"/>
      <c r="N45" s="6"/>
      <c r="O45" s="6"/>
    </row>
    <row r="46" spans="1:15">
      <c r="A46" s="5">
        <f>A45+1</f>
        <v>9</v>
      </c>
      <c r="B46" s="6">
        <v>45771</v>
      </c>
      <c r="C46" s="5" t="s">
        <v>292</v>
      </c>
      <c r="D46" s="5" t="s">
        <v>60</v>
      </c>
      <c r="E46" s="5" t="s">
        <v>48</v>
      </c>
      <c r="F46" s="7" t="s">
        <v>340</v>
      </c>
      <c r="G46" s="5" t="s">
        <v>317</v>
      </c>
      <c r="H46" s="9" t="str">
        <f>IF(G46="rvt","Sim","Não")</f>
        <v>Não</v>
      </c>
      <c r="I46" s="9" t="str">
        <f>IF(H46="Não","-"," ")</f>
        <v>-</v>
      </c>
      <c r="J46" s="6"/>
      <c r="K46" s="5"/>
      <c r="L46" s="10"/>
      <c r="M46" s="6"/>
      <c r="N46" s="6"/>
      <c r="O46" s="6"/>
    </row>
    <row r="47" spans="1:15">
      <c r="A47" s="5">
        <f>A46+1</f>
        <v>10</v>
      </c>
      <c r="B47" s="6">
        <v>45771</v>
      </c>
      <c r="C47" s="5" t="s">
        <v>292</v>
      </c>
      <c r="D47" s="5" t="s">
        <v>60</v>
      </c>
      <c r="E47" s="5" t="s">
        <v>48</v>
      </c>
      <c r="F47" s="7" t="s">
        <v>341</v>
      </c>
      <c r="G47" s="5" t="s">
        <v>317</v>
      </c>
      <c r="H47" s="9" t="str">
        <f>IF(G47="rvt","Sim","Não")</f>
        <v>Não</v>
      </c>
      <c r="I47" s="9" t="str">
        <f>IF(H47="Não","-"," ")</f>
        <v>-</v>
      </c>
      <c r="J47" s="6"/>
      <c r="K47" s="5"/>
      <c r="L47" s="10"/>
      <c r="M47" s="6"/>
      <c r="N47" s="6"/>
      <c r="O47" s="6"/>
    </row>
    <row r="48" spans="1:15">
      <c r="A48" s="5">
        <f>A47+1</f>
        <v>11</v>
      </c>
      <c r="B48" s="6">
        <v>45771</v>
      </c>
      <c r="C48" s="5" t="s">
        <v>292</v>
      </c>
      <c r="D48" s="5" t="s">
        <v>60</v>
      </c>
      <c r="E48" s="5" t="s">
        <v>48</v>
      </c>
      <c r="F48" s="7" t="s">
        <v>342</v>
      </c>
      <c r="G48" s="5" t="s">
        <v>317</v>
      </c>
      <c r="H48" s="9" t="str">
        <f>IF(G48="rvt","Sim","Não")</f>
        <v>Não</v>
      </c>
      <c r="I48" s="9" t="str">
        <f>IF(H48="Não","-"," ")</f>
        <v>-</v>
      </c>
      <c r="J48" s="6"/>
      <c r="K48" s="5"/>
      <c r="L48" s="10"/>
      <c r="M48" s="6"/>
      <c r="N48" s="6"/>
      <c r="O48" s="6"/>
    </row>
    <row r="49" spans="1:15">
      <c r="A49" s="5">
        <f>A48+1</f>
        <v>12</v>
      </c>
      <c r="B49" s="6">
        <v>45771</v>
      </c>
      <c r="C49" s="5" t="s">
        <v>292</v>
      </c>
      <c r="D49" s="5" t="s">
        <v>60</v>
      </c>
      <c r="E49" s="5" t="s">
        <v>48</v>
      </c>
      <c r="F49" s="7" t="s">
        <v>343</v>
      </c>
      <c r="G49" s="5" t="s">
        <v>317</v>
      </c>
      <c r="H49" s="9" t="str">
        <f>IF(G49="rvt","Sim","Não")</f>
        <v>Não</v>
      </c>
      <c r="I49" s="9" t="str">
        <f>IF(H49="Não","-"," ")</f>
        <v>-</v>
      </c>
      <c r="J49" s="6"/>
      <c r="K49" s="5"/>
      <c r="L49" s="10"/>
      <c r="M49" s="6"/>
      <c r="N49" s="6"/>
      <c r="O49" s="6"/>
    </row>
    <row r="50" spans="1:15">
      <c r="A50" s="5">
        <f>A49+1</f>
        <v>13</v>
      </c>
      <c r="B50" s="6">
        <v>45771</v>
      </c>
      <c r="C50" s="5" t="s">
        <v>292</v>
      </c>
      <c r="D50" s="5" t="s">
        <v>60</v>
      </c>
      <c r="E50" s="5" t="s">
        <v>48</v>
      </c>
      <c r="F50" s="7" t="s">
        <v>344</v>
      </c>
      <c r="G50" s="5" t="s">
        <v>317</v>
      </c>
      <c r="H50" s="9" t="str">
        <f>IF(G50="rvt","Sim","Não")</f>
        <v>Não</v>
      </c>
      <c r="I50" s="9" t="str">
        <f>IF(H50="Não","-"," ")</f>
        <v>-</v>
      </c>
      <c r="J50" s="6"/>
      <c r="K50" s="5"/>
      <c r="L50" s="10"/>
      <c r="M50" s="6"/>
      <c r="N50" s="6"/>
      <c r="O50" s="6"/>
    </row>
    <row r="51" spans="1:15">
      <c r="A51" s="5">
        <f>A50+1</f>
        <v>14</v>
      </c>
      <c r="B51" s="6">
        <v>45771</v>
      </c>
      <c r="C51" s="5" t="s">
        <v>292</v>
      </c>
      <c r="D51" s="5" t="s">
        <v>60</v>
      </c>
      <c r="E51" s="5" t="s">
        <v>48</v>
      </c>
      <c r="F51" s="7" t="s">
        <v>345</v>
      </c>
      <c r="G51" s="5" t="s">
        <v>317</v>
      </c>
      <c r="H51" s="9" t="str">
        <f>IF(G51="rvt","Sim","Não")</f>
        <v>Não</v>
      </c>
      <c r="I51" s="9" t="str">
        <f>IF(H51="Não","-"," ")</f>
        <v>-</v>
      </c>
      <c r="J51" s="6"/>
      <c r="K51" s="5"/>
      <c r="L51" s="10"/>
      <c r="M51" s="6"/>
      <c r="N51" s="6"/>
      <c r="O51" s="6"/>
    </row>
    <row r="52" spans="1:15">
      <c r="A52" s="5">
        <f>A51+1</f>
        <v>15</v>
      </c>
      <c r="B52" s="6">
        <v>45771</v>
      </c>
      <c r="C52" s="5" t="s">
        <v>292</v>
      </c>
      <c r="D52" s="5" t="s">
        <v>60</v>
      </c>
      <c r="E52" s="5" t="s">
        <v>48</v>
      </c>
      <c r="F52" s="7" t="s">
        <v>346</v>
      </c>
      <c r="G52" s="5" t="s">
        <v>317</v>
      </c>
      <c r="H52" s="9" t="str">
        <f>IF(G52="rvt","Sim","Não")</f>
        <v>Não</v>
      </c>
      <c r="I52" s="9" t="str">
        <f>IF(H52="Não","-"," ")</f>
        <v>-</v>
      </c>
      <c r="J52" s="6"/>
      <c r="K52" s="13"/>
      <c r="L52" s="10"/>
      <c r="M52" s="6"/>
      <c r="N52" s="6"/>
      <c r="O52" s="6"/>
    </row>
    <row r="53" spans="1:15">
      <c r="A53" s="5">
        <f>A52+1</f>
        <v>16</v>
      </c>
      <c r="B53" s="6">
        <v>45771</v>
      </c>
      <c r="C53" s="5" t="s">
        <v>292</v>
      </c>
      <c r="D53" s="5" t="s">
        <v>60</v>
      </c>
      <c r="E53" s="5" t="s">
        <v>48</v>
      </c>
      <c r="F53" s="7" t="s">
        <v>347</v>
      </c>
      <c r="G53" s="5" t="s">
        <v>317</v>
      </c>
      <c r="H53" s="9" t="str">
        <f>IF(G53="rvt","Sim","Não")</f>
        <v>Não</v>
      </c>
      <c r="I53" s="9" t="str">
        <f>IF(H53="Não","-"," ")</f>
        <v>-</v>
      </c>
      <c r="J53" s="6"/>
      <c r="K53" s="5"/>
      <c r="L53" s="10"/>
      <c r="M53" s="6"/>
      <c r="N53" s="6"/>
      <c r="O53" s="6"/>
    </row>
    <row r="54" spans="1:15">
      <c r="A54" s="5">
        <f>A53+1</f>
        <v>17</v>
      </c>
      <c r="B54" s="6">
        <v>45771</v>
      </c>
      <c r="C54" s="5" t="s">
        <v>292</v>
      </c>
      <c r="D54" s="5" t="s">
        <v>60</v>
      </c>
      <c r="E54" s="5" t="s">
        <v>48</v>
      </c>
      <c r="F54" s="7" t="s">
        <v>348</v>
      </c>
      <c r="G54" s="5" t="s">
        <v>317</v>
      </c>
      <c r="H54" s="9" t="str">
        <f>IF(G54="rvt","Sim","Não")</f>
        <v>Não</v>
      </c>
      <c r="I54" s="9" t="str">
        <f>IF(H54="Não","-"," ")</f>
        <v>-</v>
      </c>
      <c r="J54" s="6"/>
      <c r="K54" s="5"/>
      <c r="L54" s="10"/>
      <c r="M54" s="6"/>
      <c r="N54" s="6"/>
      <c r="O54" s="6"/>
    </row>
    <row r="55" spans="1:15">
      <c r="A55" s="5">
        <f>A54+1</f>
        <v>18</v>
      </c>
      <c r="B55" s="6">
        <v>45771</v>
      </c>
      <c r="C55" s="5" t="s">
        <v>292</v>
      </c>
      <c r="D55" s="5" t="s">
        <v>60</v>
      </c>
      <c r="E55" s="5" t="s">
        <v>48</v>
      </c>
      <c r="F55" s="7" t="s">
        <v>349</v>
      </c>
      <c r="G55" s="5" t="s">
        <v>317</v>
      </c>
      <c r="H55" s="9" t="str">
        <f>IF(G55="rvt","Sim","Não")</f>
        <v>Não</v>
      </c>
      <c r="I55" s="9" t="str">
        <f>IF(H55="Não","-"," ")</f>
        <v>-</v>
      </c>
      <c r="J55" s="6"/>
      <c r="K55" s="5"/>
      <c r="L55" s="10"/>
      <c r="M55" s="6"/>
      <c r="N55" s="6"/>
      <c r="O55" s="6"/>
    </row>
    <row r="56" spans="1:15">
      <c r="A56" s="5">
        <f>A55+1</f>
        <v>19</v>
      </c>
      <c r="B56" s="6">
        <v>45771</v>
      </c>
      <c r="C56" s="5" t="s">
        <v>292</v>
      </c>
      <c r="D56" s="5" t="s">
        <v>60</v>
      </c>
      <c r="E56" s="5" t="s">
        <v>48</v>
      </c>
      <c r="F56" s="7" t="s">
        <v>350</v>
      </c>
      <c r="G56" s="5" t="s">
        <v>317</v>
      </c>
      <c r="H56" s="9" t="str">
        <f>IF(G56="rvt","Sim","Não")</f>
        <v>Não</v>
      </c>
      <c r="I56" s="9" t="str">
        <f>IF(H56="Não","-"," ")</f>
        <v>-</v>
      </c>
      <c r="J56" s="6"/>
      <c r="K56" s="5"/>
      <c r="L56" s="10"/>
      <c r="M56" s="6"/>
      <c r="N56" s="6"/>
      <c r="O56" s="6"/>
    </row>
    <row r="57" spans="1:15">
      <c r="A57" s="5">
        <f>A56+1</f>
        <v>20</v>
      </c>
      <c r="B57" s="6">
        <v>45771</v>
      </c>
      <c r="C57" s="5" t="s">
        <v>292</v>
      </c>
      <c r="D57" s="5" t="s">
        <v>60</v>
      </c>
      <c r="E57" s="5" t="s">
        <v>48</v>
      </c>
      <c r="F57" s="7" t="s">
        <v>351</v>
      </c>
      <c r="G57" s="5" t="s">
        <v>317</v>
      </c>
      <c r="H57" s="9" t="str">
        <f>IF(G57="rvt","Sim","Não")</f>
        <v>Não</v>
      </c>
      <c r="I57" s="9" t="str">
        <f>IF(H57="Não","-"," ")</f>
        <v>-</v>
      </c>
      <c r="J57" s="6"/>
      <c r="K57" s="5"/>
      <c r="L57" s="10"/>
      <c r="M57" s="6"/>
      <c r="N57" s="6"/>
      <c r="O57" s="6"/>
    </row>
    <row r="58" spans="1:15">
      <c r="A58" s="5">
        <f>A57+1</f>
        <v>21</v>
      </c>
      <c r="B58" s="6">
        <v>45771</v>
      </c>
      <c r="C58" s="5" t="s">
        <v>292</v>
      </c>
      <c r="D58" s="5" t="s">
        <v>60</v>
      </c>
      <c r="E58" s="5" t="s">
        <v>48</v>
      </c>
      <c r="F58" s="7" t="s">
        <v>352</v>
      </c>
      <c r="G58" s="5" t="s">
        <v>317</v>
      </c>
      <c r="H58" s="9" t="str">
        <f>IF(G58="rvt","Sim","Não")</f>
        <v>Não</v>
      </c>
      <c r="I58" s="9" t="str">
        <f>IF(H58="Não","-"," ")</f>
        <v>-</v>
      </c>
      <c r="J58" s="6"/>
      <c r="K58" s="5"/>
      <c r="L58" s="10"/>
      <c r="M58" s="6"/>
      <c r="N58" s="6"/>
      <c r="O58" s="6"/>
    </row>
    <row r="59" spans="1:15">
      <c r="A59" s="5">
        <f>A58+1</f>
        <v>22</v>
      </c>
      <c r="B59" s="6">
        <v>45771</v>
      </c>
      <c r="C59" s="5" t="s">
        <v>292</v>
      </c>
      <c r="D59" s="5" t="s">
        <v>60</v>
      </c>
      <c r="E59" s="5" t="s">
        <v>48</v>
      </c>
      <c r="F59" s="7" t="s">
        <v>353</v>
      </c>
      <c r="G59" s="5" t="s">
        <v>317</v>
      </c>
      <c r="H59" s="9" t="str">
        <f>IF(G59="rvt","Sim","Não")</f>
        <v>Não</v>
      </c>
      <c r="I59" s="9" t="str">
        <f>IF(H59="Não","-"," ")</f>
        <v>-</v>
      </c>
      <c r="J59" s="6"/>
      <c r="K59" s="5"/>
      <c r="L59" s="10"/>
      <c r="M59" s="6"/>
      <c r="N59" s="6"/>
      <c r="O59" s="6"/>
    </row>
    <row r="60" spans="1:15">
      <c r="A60" s="5">
        <f>A59+1</f>
        <v>23</v>
      </c>
      <c r="B60" s="6">
        <v>45771</v>
      </c>
      <c r="C60" s="5" t="s">
        <v>292</v>
      </c>
      <c r="D60" s="5" t="s">
        <v>60</v>
      </c>
      <c r="E60" s="5" t="s">
        <v>48</v>
      </c>
      <c r="F60" s="7" t="s">
        <v>354</v>
      </c>
      <c r="G60" s="5" t="s">
        <v>317</v>
      </c>
      <c r="H60" s="9" t="str">
        <f>IF(G60="rvt","Sim","Não")</f>
        <v>Não</v>
      </c>
      <c r="I60" s="9" t="str">
        <f>IF(H60="Não","-"," ")</f>
        <v>-</v>
      </c>
      <c r="J60" s="6"/>
      <c r="K60" s="5"/>
      <c r="L60" s="10"/>
      <c r="M60" s="6"/>
      <c r="N60" s="6"/>
      <c r="O60" s="6"/>
    </row>
    <row r="61" spans="1:15">
      <c r="A61" s="5">
        <f>A60+1</f>
        <v>24</v>
      </c>
      <c r="B61" s="6">
        <v>45771</v>
      </c>
      <c r="C61" s="5" t="s">
        <v>292</v>
      </c>
      <c r="D61" s="5" t="s">
        <v>60</v>
      </c>
      <c r="E61" s="5" t="s">
        <v>48</v>
      </c>
      <c r="F61" s="7" t="s">
        <v>355</v>
      </c>
      <c r="G61" s="5" t="s">
        <v>317</v>
      </c>
      <c r="H61" s="9" t="str">
        <f>IF(G61="rvt","Sim","Não")</f>
        <v>Não</v>
      </c>
      <c r="I61" s="9" t="str">
        <f>IF(H61="Não","-"," ")</f>
        <v>-</v>
      </c>
      <c r="J61" s="6"/>
      <c r="K61" s="5"/>
      <c r="L61" s="10"/>
      <c r="M61" s="6"/>
      <c r="N61" s="6"/>
      <c r="O61" s="6"/>
    </row>
    <row r="62" spans="1:15">
      <c r="A62" s="5">
        <f>A61+1</f>
        <v>25</v>
      </c>
      <c r="B62" s="6">
        <v>45771</v>
      </c>
      <c r="C62" s="5" t="s">
        <v>292</v>
      </c>
      <c r="D62" s="5" t="s">
        <v>60</v>
      </c>
      <c r="E62" s="5" t="s">
        <v>48</v>
      </c>
      <c r="F62" s="7" t="s">
        <v>356</v>
      </c>
      <c r="G62" s="5" t="s">
        <v>317</v>
      </c>
      <c r="H62" s="9" t="str">
        <f>IF(G62="rvt","Sim","Não")</f>
        <v>Não</v>
      </c>
      <c r="I62" s="9" t="str">
        <f>IF(H62="Não","-"," ")</f>
        <v>-</v>
      </c>
      <c r="J62" s="6"/>
      <c r="K62" s="5"/>
      <c r="L62" s="10"/>
      <c r="M62" s="6"/>
      <c r="N62" s="6"/>
      <c r="O62" s="6"/>
    </row>
    <row r="63" spans="1:15">
      <c r="A63" s="5">
        <f>A62+1</f>
        <v>26</v>
      </c>
      <c r="B63" s="6">
        <v>45771</v>
      </c>
      <c r="C63" s="5" t="s">
        <v>292</v>
      </c>
      <c r="D63" s="5" t="s">
        <v>60</v>
      </c>
      <c r="E63" s="5" t="s">
        <v>48</v>
      </c>
      <c r="F63" s="7" t="s">
        <v>357</v>
      </c>
      <c r="G63" s="5" t="s">
        <v>317</v>
      </c>
      <c r="H63" s="9" t="str">
        <f>IF(G63="rvt","Sim","Não")</f>
        <v>Não</v>
      </c>
      <c r="I63" s="9" t="str">
        <f>IF(H63="Não","-"," ")</f>
        <v>-</v>
      </c>
      <c r="J63" s="6"/>
      <c r="K63" s="5"/>
      <c r="L63" s="10"/>
      <c r="M63" s="6"/>
      <c r="N63" s="6"/>
      <c r="O63" s="6"/>
    </row>
    <row r="64" spans="1:15">
      <c r="A64" s="5">
        <f>A63+1</f>
        <v>27</v>
      </c>
      <c r="B64" s="6">
        <v>45771</v>
      </c>
      <c r="C64" s="5" t="s">
        <v>292</v>
      </c>
      <c r="D64" s="5" t="s">
        <v>60</v>
      </c>
      <c r="E64" s="5" t="s">
        <v>93</v>
      </c>
      <c r="F64" s="7" t="s">
        <v>358</v>
      </c>
      <c r="G64" s="5" t="s">
        <v>317</v>
      </c>
      <c r="H64" s="9" t="str">
        <f>IF(G64="rvt","Sim","Não")</f>
        <v>Não</v>
      </c>
      <c r="I64" s="9" t="str">
        <f>IF(H64="Não","-"," ")</f>
        <v>-</v>
      </c>
      <c r="J64" s="6"/>
      <c r="K64" s="5"/>
      <c r="L64" s="10"/>
      <c r="M64" s="6"/>
      <c r="N64" s="6"/>
      <c r="O64" s="6"/>
    </row>
    <row r="65" spans="1:15">
      <c r="A65" s="5">
        <f>A64+1</f>
        <v>28</v>
      </c>
      <c r="B65" s="6">
        <v>45771</v>
      </c>
      <c r="C65" s="5" t="s">
        <v>292</v>
      </c>
      <c r="D65" s="5" t="s">
        <v>60</v>
      </c>
      <c r="E65" s="5" t="s">
        <v>93</v>
      </c>
      <c r="F65" s="7" t="s">
        <v>359</v>
      </c>
      <c r="G65" s="5" t="s">
        <v>317</v>
      </c>
      <c r="H65" s="9" t="str">
        <f>IF(G65="rvt","Sim","Não")</f>
        <v>Não</v>
      </c>
      <c r="I65" s="9" t="str">
        <f>IF(H65="Não","-"," ")</f>
        <v>-</v>
      </c>
      <c r="J65" s="6"/>
      <c r="K65" s="5"/>
      <c r="L65" s="10"/>
      <c r="M65" s="6"/>
      <c r="N65" s="6"/>
      <c r="O65" s="6"/>
    </row>
    <row r="66" spans="1:15">
      <c r="A66" s="5">
        <f>A65+1</f>
        <v>29</v>
      </c>
      <c r="B66" s="6">
        <v>45771</v>
      </c>
      <c r="C66" s="5" t="s">
        <v>292</v>
      </c>
      <c r="D66" s="5" t="s">
        <v>60</v>
      </c>
      <c r="E66" s="5" t="s">
        <v>93</v>
      </c>
      <c r="F66" s="7" t="s">
        <v>360</v>
      </c>
      <c r="G66" s="5" t="s">
        <v>317</v>
      </c>
      <c r="H66" s="9" t="str">
        <f>IF(G66="rvt","Sim","Não")</f>
        <v>Não</v>
      </c>
      <c r="I66" s="9" t="str">
        <f>IF(H66="Não","-"," ")</f>
        <v>-</v>
      </c>
      <c r="J66" s="6"/>
      <c r="K66" s="5"/>
      <c r="L66" s="10"/>
      <c r="M66" s="6"/>
      <c r="N66" s="6"/>
      <c r="O66" s="6"/>
    </row>
    <row r="67" spans="1:15">
      <c r="A67" s="5">
        <f>A66+1</f>
        <v>30</v>
      </c>
      <c r="B67" s="6">
        <v>45771</v>
      </c>
      <c r="C67" s="5" t="s">
        <v>292</v>
      </c>
      <c r="D67" s="5" t="s">
        <v>60</v>
      </c>
      <c r="E67" s="5" t="s">
        <v>93</v>
      </c>
      <c r="F67" s="7" t="s">
        <v>361</v>
      </c>
      <c r="G67" s="5" t="s">
        <v>317</v>
      </c>
      <c r="H67" s="9" t="str">
        <f>IF(G67="rvt","Sim","Não")</f>
        <v>Não</v>
      </c>
      <c r="I67" s="9" t="str">
        <f>IF(H67="Não","-"," ")</f>
        <v>-</v>
      </c>
      <c r="J67" s="6"/>
      <c r="K67" s="5"/>
      <c r="L67" s="10"/>
      <c r="M67" s="6"/>
      <c r="N67" s="6"/>
      <c r="O67" s="6"/>
    </row>
    <row r="68" spans="1:15">
      <c r="A68" s="5">
        <f>A67+1</f>
        <v>31</v>
      </c>
      <c r="B68" s="6">
        <v>45771</v>
      </c>
      <c r="C68" s="5" t="s">
        <v>292</v>
      </c>
      <c r="D68" s="5" t="s">
        <v>60</v>
      </c>
      <c r="E68" s="5" t="s">
        <v>93</v>
      </c>
      <c r="F68" s="7" t="s">
        <v>362</v>
      </c>
      <c r="G68" s="5" t="s">
        <v>317</v>
      </c>
      <c r="H68" s="9" t="str">
        <f>IF(G68="rvt","Sim","Não")</f>
        <v>Não</v>
      </c>
      <c r="I68" s="9" t="str">
        <f>IF(H68="Não","-"," ")</f>
        <v>-</v>
      </c>
      <c r="J68" s="6"/>
      <c r="K68" s="5"/>
      <c r="L68" s="10"/>
      <c r="M68" s="6"/>
      <c r="N68" s="6"/>
      <c r="O68" s="6"/>
    </row>
    <row r="69" spans="1:15">
      <c r="A69" s="5">
        <f>A68+1</f>
        <v>32</v>
      </c>
      <c r="B69" s="6">
        <v>45771</v>
      </c>
      <c r="C69" s="5" t="s">
        <v>292</v>
      </c>
      <c r="D69" s="5" t="s">
        <v>60</v>
      </c>
      <c r="E69" s="5" t="s">
        <v>93</v>
      </c>
      <c r="F69" s="7" t="s">
        <v>363</v>
      </c>
      <c r="G69" s="5" t="s">
        <v>317</v>
      </c>
      <c r="H69" s="9" t="str">
        <f>IF(G69="rvt","Sim","Não")</f>
        <v>Não</v>
      </c>
      <c r="I69" s="9" t="str">
        <f>IF(H69="Não","-"," ")</f>
        <v>-</v>
      </c>
      <c r="J69" s="6"/>
      <c r="K69" s="5"/>
      <c r="L69" s="10"/>
      <c r="M69" s="6"/>
      <c r="N69" s="6"/>
      <c r="O69" s="6"/>
    </row>
    <row r="70" spans="1:15">
      <c r="A70" s="5">
        <f>A69+1</f>
        <v>33</v>
      </c>
      <c r="B70" s="6">
        <v>45771</v>
      </c>
      <c r="C70" s="5" t="s">
        <v>292</v>
      </c>
      <c r="D70" s="5" t="s">
        <v>60</v>
      </c>
      <c r="E70" s="5" t="s">
        <v>93</v>
      </c>
      <c r="F70" s="7" t="s">
        <v>364</v>
      </c>
      <c r="G70" s="5" t="s">
        <v>317</v>
      </c>
      <c r="H70" s="9" t="str">
        <f>IF(G70="rvt","Sim","Não")</f>
        <v>Não</v>
      </c>
      <c r="I70" s="9" t="str">
        <f>IF(H70="Não","-"," ")</f>
        <v>-</v>
      </c>
      <c r="J70" s="6"/>
      <c r="K70" s="5"/>
      <c r="L70" s="10"/>
      <c r="M70" s="6"/>
      <c r="N70" s="6"/>
      <c r="O70" s="6"/>
    </row>
    <row r="71" spans="1:15">
      <c r="A71" s="5">
        <f>A70+1</f>
        <v>34</v>
      </c>
      <c r="B71" s="6">
        <v>45771</v>
      </c>
      <c r="C71" s="5" t="s">
        <v>292</v>
      </c>
      <c r="D71" s="5" t="s">
        <v>60</v>
      </c>
      <c r="E71" s="5" t="s">
        <v>93</v>
      </c>
      <c r="F71" s="7" t="s">
        <v>365</v>
      </c>
      <c r="G71" s="5" t="s">
        <v>317</v>
      </c>
      <c r="H71" s="9" t="str">
        <f>IF(G71="rvt","Sim","Não")</f>
        <v>Não</v>
      </c>
      <c r="I71" s="9" t="str">
        <f>IF(H71="Não","-"," ")</f>
        <v>-</v>
      </c>
      <c r="J71" s="6"/>
      <c r="K71" s="5"/>
      <c r="L71" s="10"/>
      <c r="M71" s="6"/>
      <c r="N71" s="6"/>
      <c r="O71" s="6"/>
    </row>
    <row r="72" spans="1:15">
      <c r="A72" s="5">
        <f>A71+1</f>
        <v>35</v>
      </c>
      <c r="B72" s="6">
        <v>45771</v>
      </c>
      <c r="C72" s="5" t="s">
        <v>292</v>
      </c>
      <c r="D72" s="5" t="s">
        <v>60</v>
      </c>
      <c r="E72" s="5" t="s">
        <v>93</v>
      </c>
      <c r="F72" s="7" t="s">
        <v>366</v>
      </c>
      <c r="G72" s="5" t="s">
        <v>317</v>
      </c>
      <c r="H72" s="9" t="str">
        <f>IF(G72="rvt","Sim","Não")</f>
        <v>Não</v>
      </c>
      <c r="I72" s="9" t="str">
        <f>IF(H72="Não","-"," ")</f>
        <v>-</v>
      </c>
      <c r="J72" s="6"/>
      <c r="K72" s="5"/>
      <c r="L72" s="10"/>
      <c r="M72" s="6"/>
      <c r="N72" s="6"/>
      <c r="O72" s="6"/>
    </row>
    <row r="73" spans="1:15">
      <c r="A73" s="5">
        <f>A72+1</f>
        <v>36</v>
      </c>
      <c r="B73" s="6">
        <v>45771</v>
      </c>
      <c r="C73" s="5" t="s">
        <v>292</v>
      </c>
      <c r="D73" s="5" t="s">
        <v>60</v>
      </c>
      <c r="E73" s="5" t="s">
        <v>93</v>
      </c>
      <c r="F73" s="7" t="s">
        <v>367</v>
      </c>
      <c r="G73" s="5" t="s">
        <v>317</v>
      </c>
      <c r="H73" s="9" t="str">
        <f>IF(G73="rvt","Sim","Não")</f>
        <v>Não</v>
      </c>
      <c r="I73" s="9" t="str">
        <f>IF(H73="Não","-"," ")</f>
        <v>-</v>
      </c>
      <c r="J73" s="6"/>
      <c r="K73" s="5"/>
      <c r="L73" s="10"/>
      <c r="M73" s="6"/>
      <c r="N73" s="6"/>
      <c r="O73" s="6"/>
    </row>
    <row r="74" spans="1:15">
      <c r="A74" s="5">
        <f>A73+1</f>
        <v>37</v>
      </c>
      <c r="B74" s="6">
        <v>45771</v>
      </c>
      <c r="C74" s="5" t="s">
        <v>292</v>
      </c>
      <c r="D74" s="5" t="s">
        <v>60</v>
      </c>
      <c r="E74" s="5" t="s">
        <v>93</v>
      </c>
      <c r="F74" s="7" t="s">
        <v>368</v>
      </c>
      <c r="G74" s="5" t="s">
        <v>317</v>
      </c>
      <c r="H74" s="9" t="str">
        <f>IF(G74="rvt","Sim","Não")</f>
        <v>Não</v>
      </c>
      <c r="I74" s="9" t="str">
        <f>IF(H74="Não","-"," ")</f>
        <v>-</v>
      </c>
      <c r="J74" s="6"/>
      <c r="K74" s="5"/>
      <c r="L74" s="10"/>
      <c r="M74" s="6"/>
      <c r="N74" s="6"/>
      <c r="O74" s="6"/>
    </row>
    <row r="75" spans="1:15">
      <c r="A75" s="5">
        <f>A74+1</f>
        <v>38</v>
      </c>
      <c r="B75" s="6">
        <v>45771</v>
      </c>
      <c r="C75" s="5" t="s">
        <v>292</v>
      </c>
      <c r="D75" s="5" t="s">
        <v>60</v>
      </c>
      <c r="E75" s="5" t="s">
        <v>93</v>
      </c>
      <c r="F75" s="7" t="s">
        <v>369</v>
      </c>
      <c r="G75" s="5" t="s">
        <v>317</v>
      </c>
      <c r="H75" s="9" t="str">
        <f>IF(G75="rvt","Sim","Não")</f>
        <v>Não</v>
      </c>
      <c r="I75" s="9" t="str">
        <f>IF(H75="Não","-"," ")</f>
        <v>-</v>
      </c>
      <c r="J75" s="6"/>
      <c r="K75" s="5"/>
      <c r="L75" s="10"/>
      <c r="M75" s="6"/>
      <c r="N75" s="6"/>
      <c r="O75" s="6"/>
    </row>
    <row r="76" spans="1:15">
      <c r="A76" s="5">
        <f>A75+1</f>
        <v>39</v>
      </c>
      <c r="B76" s="6">
        <v>45771</v>
      </c>
      <c r="C76" s="5" t="s">
        <v>292</v>
      </c>
      <c r="D76" s="5" t="s">
        <v>60</v>
      </c>
      <c r="E76" s="5" t="s">
        <v>93</v>
      </c>
      <c r="F76" s="7" t="s">
        <v>370</v>
      </c>
      <c r="G76" s="5" t="s">
        <v>317</v>
      </c>
      <c r="H76" s="9" t="str">
        <f>IF(G76="rvt","Sim","Não")</f>
        <v>Não</v>
      </c>
      <c r="I76" s="9" t="str">
        <f>IF(H76="Não","-"," ")</f>
        <v>-</v>
      </c>
      <c r="J76" s="6"/>
      <c r="K76" s="5"/>
      <c r="L76" s="10"/>
      <c r="M76" s="6"/>
      <c r="N76" s="6"/>
      <c r="O76" s="6"/>
    </row>
    <row r="77" spans="1:15">
      <c r="A77" s="5">
        <f>A76+1</f>
        <v>40</v>
      </c>
      <c r="B77" s="6">
        <v>45771</v>
      </c>
      <c r="C77" s="5" t="s">
        <v>292</v>
      </c>
      <c r="D77" s="5" t="s">
        <v>60</v>
      </c>
      <c r="E77" s="5" t="s">
        <v>93</v>
      </c>
      <c r="F77" s="7" t="s">
        <v>371</v>
      </c>
      <c r="G77" s="5" t="s">
        <v>317</v>
      </c>
      <c r="H77" s="9" t="str">
        <f>IF(G77="rvt","Sim","Não")</f>
        <v>Não</v>
      </c>
      <c r="I77" s="9" t="str">
        <f>IF(H77="Não","-"," ")</f>
        <v>-</v>
      </c>
      <c r="J77" s="6"/>
      <c r="K77" s="5"/>
      <c r="L77" s="10"/>
      <c r="M77" s="6"/>
      <c r="N77" s="6"/>
      <c r="O77" s="6"/>
    </row>
    <row r="78" spans="1:15">
      <c r="A78" s="5">
        <f>A77+1</f>
        <v>41</v>
      </c>
      <c r="B78" s="6">
        <v>45771</v>
      </c>
      <c r="C78" s="5" t="s">
        <v>292</v>
      </c>
      <c r="D78" s="5" t="s">
        <v>60</v>
      </c>
      <c r="E78" s="5" t="s">
        <v>93</v>
      </c>
      <c r="F78" s="7" t="s">
        <v>372</v>
      </c>
      <c r="G78" s="5" t="s">
        <v>317</v>
      </c>
      <c r="H78" s="9" t="str">
        <f>IF(G78="rvt","Sim","Não")</f>
        <v>Não</v>
      </c>
      <c r="I78" s="9" t="str">
        <f>IF(H78="Não","-"," ")</f>
        <v>-</v>
      </c>
      <c r="J78" s="6"/>
      <c r="K78" s="5"/>
      <c r="L78" s="10"/>
      <c r="M78" s="6"/>
      <c r="N78" s="6"/>
      <c r="O78" s="6"/>
    </row>
    <row r="79" spans="1:15">
      <c r="A79" s="5">
        <f>A78+1</f>
        <v>42</v>
      </c>
      <c r="B79" s="6">
        <v>45771</v>
      </c>
      <c r="C79" s="5" t="s">
        <v>292</v>
      </c>
      <c r="D79" s="5" t="s">
        <v>60</v>
      </c>
      <c r="E79" s="5" t="s">
        <v>93</v>
      </c>
      <c r="F79" s="7" t="s">
        <v>373</v>
      </c>
      <c r="G79" s="5" t="s">
        <v>317</v>
      </c>
      <c r="H79" s="9" t="str">
        <f>IF(G79="rvt","Sim","Não")</f>
        <v>Não</v>
      </c>
      <c r="I79" s="9" t="str">
        <f>IF(H79="Não","-"," ")</f>
        <v>-</v>
      </c>
      <c r="J79" s="6"/>
      <c r="K79" s="5"/>
      <c r="L79" s="10"/>
      <c r="M79" s="6"/>
      <c r="N79" s="6"/>
      <c r="O79" s="6"/>
    </row>
    <row r="80" spans="1:15">
      <c r="A80" s="5">
        <f>A79+1</f>
        <v>43</v>
      </c>
      <c r="B80" s="6">
        <v>45771</v>
      </c>
      <c r="C80" s="5" t="s">
        <v>292</v>
      </c>
      <c r="D80" s="5" t="s">
        <v>60</v>
      </c>
      <c r="E80" s="5" t="s">
        <v>93</v>
      </c>
      <c r="F80" s="7" t="s">
        <v>374</v>
      </c>
      <c r="G80" s="5" t="s">
        <v>317</v>
      </c>
      <c r="H80" s="9" t="str">
        <f>IF(G80="rvt","Sim","Não")</f>
        <v>Não</v>
      </c>
      <c r="I80" s="9" t="str">
        <f>IF(H80="Não","-"," ")</f>
        <v>-</v>
      </c>
      <c r="J80" s="6"/>
      <c r="K80" s="5"/>
      <c r="L80" s="10"/>
      <c r="M80" s="6"/>
      <c r="N80" s="6"/>
      <c r="O80" s="6"/>
    </row>
    <row r="81" spans="1:15">
      <c r="A81" s="5">
        <f>A80+1</f>
        <v>44</v>
      </c>
      <c r="B81" s="6">
        <v>45771</v>
      </c>
      <c r="C81" s="5" t="s">
        <v>292</v>
      </c>
      <c r="D81" s="5" t="s">
        <v>60</v>
      </c>
      <c r="E81" s="5" t="s">
        <v>93</v>
      </c>
      <c r="F81" s="7" t="s">
        <v>375</v>
      </c>
      <c r="G81" s="5" t="s">
        <v>317</v>
      </c>
      <c r="H81" s="9" t="str">
        <f>IF(G81="rvt","Sim","Não")</f>
        <v>Não</v>
      </c>
      <c r="I81" s="9" t="str">
        <f>IF(H81="Não","-"," ")</f>
        <v>-</v>
      </c>
      <c r="J81" s="6"/>
      <c r="K81" s="13"/>
      <c r="L81" s="10"/>
      <c r="M81" s="6"/>
      <c r="N81" s="6"/>
      <c r="O81" s="6"/>
    </row>
    <row r="82" spans="1:15">
      <c r="A82" s="5">
        <f>A81+1</f>
        <v>45</v>
      </c>
      <c r="B82" s="6">
        <v>45771</v>
      </c>
      <c r="C82" s="5" t="s">
        <v>292</v>
      </c>
      <c r="D82" s="5" t="s">
        <v>60</v>
      </c>
      <c r="E82" s="5" t="s">
        <v>93</v>
      </c>
      <c r="F82" s="7" t="s">
        <v>376</v>
      </c>
      <c r="G82" s="5" t="s">
        <v>317</v>
      </c>
      <c r="H82" s="9" t="str">
        <f>IF(G82="rvt","Sim","Não")</f>
        <v>Não</v>
      </c>
      <c r="I82" s="9" t="str">
        <f>IF(H82="Não","-"," ")</f>
        <v>-</v>
      </c>
      <c r="J82" s="6"/>
      <c r="K82" s="5"/>
      <c r="L82" s="10"/>
      <c r="M82" s="6"/>
      <c r="N82" s="6"/>
      <c r="O82" s="6"/>
    </row>
    <row r="83" spans="1:15">
      <c r="A83" s="5">
        <f>A82+1</f>
        <v>46</v>
      </c>
      <c r="B83" s="6">
        <v>45771</v>
      </c>
      <c r="C83" s="5" t="s">
        <v>292</v>
      </c>
      <c r="D83" s="5" t="s">
        <v>60</v>
      </c>
      <c r="E83" s="5" t="s">
        <v>93</v>
      </c>
      <c r="F83" s="7" t="s">
        <v>377</v>
      </c>
      <c r="G83" s="5" t="s">
        <v>317</v>
      </c>
      <c r="H83" s="9" t="str">
        <f>IF(G83="rvt","Sim","Não")</f>
        <v>Não</v>
      </c>
      <c r="I83" s="9" t="str">
        <f>IF(H83="Não","-"," ")</f>
        <v>-</v>
      </c>
      <c r="J83" s="6"/>
      <c r="K83" s="5"/>
      <c r="L83" s="10"/>
      <c r="M83" s="6"/>
      <c r="N83" s="6"/>
      <c r="O83" s="6"/>
    </row>
    <row r="84" spans="1:15">
      <c r="A84" s="5">
        <f>A83+1</f>
        <v>47</v>
      </c>
      <c r="B84" s="6">
        <v>45771</v>
      </c>
      <c r="C84" s="5" t="s">
        <v>292</v>
      </c>
      <c r="D84" s="5" t="s">
        <v>60</v>
      </c>
      <c r="E84" s="5" t="s">
        <v>93</v>
      </c>
      <c r="F84" s="7" t="s">
        <v>378</v>
      </c>
      <c r="G84" s="5" t="s">
        <v>317</v>
      </c>
      <c r="H84" s="9" t="str">
        <f>IF(G84="rvt","Sim","Não")</f>
        <v>Não</v>
      </c>
      <c r="I84" s="9" t="str">
        <f>IF(H84="Não","-"," ")</f>
        <v>-</v>
      </c>
      <c r="J84" s="6"/>
      <c r="K84" s="5"/>
      <c r="L84" s="10"/>
      <c r="M84" s="6"/>
      <c r="N84" s="6"/>
      <c r="O84" s="6"/>
    </row>
    <row r="85" spans="1:15">
      <c r="A85" s="5">
        <f>A84+1</f>
        <v>48</v>
      </c>
      <c r="B85" s="6">
        <v>45771</v>
      </c>
      <c r="C85" s="5" t="s">
        <v>292</v>
      </c>
      <c r="D85" s="5" t="s">
        <v>60</v>
      </c>
      <c r="E85" s="5" t="s">
        <v>93</v>
      </c>
      <c r="F85" s="7" t="s">
        <v>379</v>
      </c>
      <c r="G85" s="5" t="s">
        <v>317</v>
      </c>
      <c r="H85" s="9" t="str">
        <f>IF(G85="rvt","Sim","Não")</f>
        <v>Não</v>
      </c>
      <c r="I85" s="9" t="str">
        <f>IF(H85="Não","-"," ")</f>
        <v>-</v>
      </c>
      <c r="J85" s="6"/>
      <c r="K85" s="5"/>
      <c r="L85" s="10"/>
      <c r="M85" s="6"/>
      <c r="N85" s="6"/>
      <c r="O85" s="6"/>
    </row>
    <row r="86" spans="1:15">
      <c r="A86" s="5">
        <f>A85+1</f>
        <v>49</v>
      </c>
      <c r="B86" s="6">
        <v>45771</v>
      </c>
      <c r="C86" s="5" t="s">
        <v>292</v>
      </c>
      <c r="D86" s="5" t="s">
        <v>60</v>
      </c>
      <c r="E86" s="5" t="s">
        <v>93</v>
      </c>
      <c r="F86" s="7" t="s">
        <v>380</v>
      </c>
      <c r="G86" s="5" t="s">
        <v>317</v>
      </c>
      <c r="H86" s="9" t="str">
        <f>IF(G86="rvt","Sim","Não")</f>
        <v>Não</v>
      </c>
      <c r="I86" s="9" t="str">
        <f>IF(H86="Não","-"," ")</f>
        <v>-</v>
      </c>
      <c r="J86" s="6"/>
      <c r="K86" s="5"/>
      <c r="L86" s="10"/>
      <c r="M86" s="6"/>
      <c r="N86" s="6"/>
      <c r="O86" s="6"/>
    </row>
    <row r="87" spans="1:15">
      <c r="A87" s="5">
        <f>A86+1</f>
        <v>50</v>
      </c>
      <c r="B87" s="6">
        <v>45771</v>
      </c>
      <c r="C87" s="5" t="s">
        <v>292</v>
      </c>
      <c r="D87" s="5" t="s">
        <v>60</v>
      </c>
      <c r="E87" s="5" t="s">
        <v>93</v>
      </c>
      <c r="F87" s="7" t="s">
        <v>381</v>
      </c>
      <c r="G87" s="5" t="s">
        <v>317</v>
      </c>
      <c r="H87" s="9" t="str">
        <f>IF(G87="rvt","Sim","Não")</f>
        <v>Não</v>
      </c>
      <c r="I87" s="9" t="str">
        <f>IF(H87="Não","-"," ")</f>
        <v>-</v>
      </c>
      <c r="J87" s="6"/>
      <c r="K87" s="5"/>
      <c r="L87" s="10"/>
      <c r="M87" s="6"/>
      <c r="N87" s="6"/>
      <c r="O87" s="6"/>
    </row>
    <row r="88" spans="1:15">
      <c r="A88" s="5">
        <f>A87+1</f>
        <v>51</v>
      </c>
      <c r="B88" s="6">
        <v>45771</v>
      </c>
      <c r="C88" s="5" t="s">
        <v>292</v>
      </c>
      <c r="D88" s="5" t="s">
        <v>60</v>
      </c>
      <c r="E88" s="5" t="s">
        <v>93</v>
      </c>
      <c r="F88" s="7" t="s">
        <v>382</v>
      </c>
      <c r="G88" s="5" t="s">
        <v>317</v>
      </c>
      <c r="H88" s="9" t="str">
        <f>IF(G88="rvt","Sim","Não")</f>
        <v>Não</v>
      </c>
      <c r="I88" s="9" t="str">
        <f>IF(H88="Não","-"," ")</f>
        <v>-</v>
      </c>
      <c r="J88" s="6"/>
      <c r="K88" s="5"/>
      <c r="L88" s="10"/>
      <c r="M88" s="6"/>
      <c r="N88" s="6"/>
      <c r="O88" s="6"/>
    </row>
    <row r="89" spans="1:15">
      <c r="A89" s="5">
        <f>A88+1</f>
        <v>52</v>
      </c>
      <c r="B89" s="6">
        <v>45771</v>
      </c>
      <c r="C89" s="5" t="s">
        <v>292</v>
      </c>
      <c r="D89" s="5" t="s">
        <v>60</v>
      </c>
      <c r="E89" s="5" t="s">
        <v>93</v>
      </c>
      <c r="F89" s="7" t="s">
        <v>383</v>
      </c>
      <c r="G89" s="5" t="s">
        <v>317</v>
      </c>
      <c r="H89" s="9" t="str">
        <f>IF(G89="rvt","Sim","Não")</f>
        <v>Não</v>
      </c>
      <c r="I89" s="9" t="str">
        <f>IF(H89="Não","-"," ")</f>
        <v>-</v>
      </c>
      <c r="J89" s="6"/>
      <c r="K89" s="5"/>
      <c r="L89" s="10"/>
      <c r="M89" s="6"/>
      <c r="N89" s="6"/>
      <c r="O89" s="6"/>
    </row>
    <row r="90" spans="1:15">
      <c r="A90" s="5">
        <f>A89+1</f>
        <v>53</v>
      </c>
      <c r="B90" s="6">
        <v>45771</v>
      </c>
      <c r="C90" s="5" t="s">
        <v>292</v>
      </c>
      <c r="D90" s="5" t="s">
        <v>60</v>
      </c>
      <c r="E90" s="5" t="s">
        <v>93</v>
      </c>
      <c r="F90" s="7" t="s">
        <v>384</v>
      </c>
      <c r="G90" s="5" t="s">
        <v>296</v>
      </c>
      <c r="H90" s="9" t="str">
        <f>IF(G90="rvt","Sim","Não")</f>
        <v>Não</v>
      </c>
      <c r="I90" s="9" t="str">
        <f>IF(H90="Não","-"," ")</f>
        <v>-</v>
      </c>
      <c r="J90" s="6"/>
      <c r="K90" s="5"/>
      <c r="L90" s="10"/>
      <c r="M90" s="6"/>
      <c r="N90" s="6"/>
      <c r="O90" s="6"/>
    </row>
    <row r="91" spans="1:15">
      <c r="A91" s="5">
        <f>A90+1</f>
        <v>54</v>
      </c>
      <c r="B91" s="6">
        <v>45771</v>
      </c>
      <c r="C91" s="5" t="s">
        <v>292</v>
      </c>
      <c r="D91" s="5" t="s">
        <v>60</v>
      </c>
      <c r="E91" s="5" t="s">
        <v>93</v>
      </c>
      <c r="F91" s="7" t="s">
        <v>385</v>
      </c>
      <c r="G91" s="5" t="s">
        <v>296</v>
      </c>
      <c r="H91" s="9" t="str">
        <f>IF(G91="rvt","Sim","Não")</f>
        <v>Não</v>
      </c>
      <c r="I91" s="9" t="str">
        <f>IF(H91="Não","-"," ")</f>
        <v>-</v>
      </c>
      <c r="J91" s="6"/>
      <c r="K91" s="5"/>
      <c r="L91" s="10"/>
      <c r="M91" s="6"/>
      <c r="N91" s="6"/>
      <c r="O91" s="6"/>
    </row>
    <row r="92" spans="1:15">
      <c r="A92" s="5">
        <f>A91+1</f>
        <v>55</v>
      </c>
      <c r="B92" s="6">
        <v>45771</v>
      </c>
      <c r="C92" s="5" t="s">
        <v>292</v>
      </c>
      <c r="D92" s="5" t="s">
        <v>60</v>
      </c>
      <c r="E92" s="5" t="s">
        <v>93</v>
      </c>
      <c r="F92" s="7" t="s">
        <v>386</v>
      </c>
      <c r="G92" s="5" t="s">
        <v>296</v>
      </c>
      <c r="H92" s="9" t="str">
        <f>IF(G92="rvt","Sim","Não")</f>
        <v>Não</v>
      </c>
      <c r="I92" s="9" t="str">
        <f>IF(H92="Não","-"," ")</f>
        <v>-</v>
      </c>
      <c r="J92" s="6"/>
      <c r="K92" s="5"/>
      <c r="L92" s="10"/>
      <c r="M92" s="6"/>
      <c r="N92" s="6"/>
      <c r="O92" s="6"/>
    </row>
    <row r="93" spans="1:15">
      <c r="A93" s="5">
        <f>A92+1</f>
        <v>56</v>
      </c>
      <c r="B93" s="6">
        <v>45771</v>
      </c>
      <c r="C93" s="5" t="s">
        <v>292</v>
      </c>
      <c r="D93" s="5" t="s">
        <v>60</v>
      </c>
      <c r="E93" s="5" t="s">
        <v>93</v>
      </c>
      <c r="F93" s="7" t="s">
        <v>387</v>
      </c>
      <c r="G93" s="5" t="s">
        <v>296</v>
      </c>
      <c r="H93" s="9" t="str">
        <f>IF(G93="rvt","Sim","Não")</f>
        <v>Não</v>
      </c>
      <c r="I93" s="9" t="str">
        <f>IF(H93="Não","-"," ")</f>
        <v>-</v>
      </c>
      <c r="J93" s="6"/>
      <c r="K93" s="5"/>
      <c r="L93" s="10"/>
      <c r="M93" s="6"/>
      <c r="N93" s="6"/>
      <c r="O93" s="6"/>
    </row>
    <row r="94" spans="1:15">
      <c r="A94" s="5">
        <f>A93+1</f>
        <v>57</v>
      </c>
      <c r="B94" s="6">
        <v>45771</v>
      </c>
      <c r="C94" s="5" t="s">
        <v>292</v>
      </c>
      <c r="D94" s="5" t="s">
        <v>60</v>
      </c>
      <c r="E94" s="5" t="s">
        <v>93</v>
      </c>
      <c r="F94" s="7" t="s">
        <v>388</v>
      </c>
      <c r="G94" s="5" t="s">
        <v>296</v>
      </c>
      <c r="H94" s="9" t="str">
        <f>IF(G94="rvt","Sim","Não")</f>
        <v>Não</v>
      </c>
      <c r="I94" s="9" t="str">
        <f>IF(H94="Não","-"," ")</f>
        <v>-</v>
      </c>
      <c r="J94" s="6"/>
      <c r="K94" s="5"/>
      <c r="L94" s="10"/>
      <c r="M94" s="6"/>
      <c r="N94" s="6"/>
      <c r="O94" s="6"/>
    </row>
    <row r="95" spans="1:15">
      <c r="A95" s="5">
        <f>A94+1</f>
        <v>58</v>
      </c>
      <c r="B95" s="6">
        <v>45771</v>
      </c>
      <c r="C95" s="5" t="s">
        <v>292</v>
      </c>
      <c r="D95" s="5" t="s">
        <v>60</v>
      </c>
      <c r="E95" s="5" t="s">
        <v>93</v>
      </c>
      <c r="F95" s="7" t="s">
        <v>389</v>
      </c>
      <c r="G95" s="5" t="s">
        <v>296</v>
      </c>
      <c r="H95" s="9" t="str">
        <f>IF(G95="rvt","Sim","Não")</f>
        <v>Não</v>
      </c>
      <c r="I95" s="9" t="str">
        <f>IF(H95="Não","-"," ")</f>
        <v>-</v>
      </c>
      <c r="J95" s="6"/>
      <c r="K95" s="5"/>
      <c r="L95" s="10"/>
      <c r="M95" s="6"/>
      <c r="N95" s="6"/>
      <c r="O95" s="6"/>
    </row>
    <row r="96" spans="1:15">
      <c r="A96" s="5">
        <f>A95+1</f>
        <v>59</v>
      </c>
      <c r="B96" s="6">
        <v>45771</v>
      </c>
      <c r="C96" s="5" t="s">
        <v>292</v>
      </c>
      <c r="D96" s="5" t="s">
        <v>60</v>
      </c>
      <c r="E96" s="5" t="s">
        <v>93</v>
      </c>
      <c r="F96" s="7" t="s">
        <v>390</v>
      </c>
      <c r="G96" s="5" t="s">
        <v>296</v>
      </c>
      <c r="H96" s="9" t="str">
        <f>IF(G96="rvt","Sim","Não")</f>
        <v>Não</v>
      </c>
      <c r="I96" s="9" t="str">
        <f>IF(H96="Não","-"," ")</f>
        <v>-</v>
      </c>
      <c r="J96" s="6"/>
      <c r="K96" s="5"/>
      <c r="L96" s="10"/>
      <c r="M96" s="6"/>
      <c r="N96" s="6"/>
      <c r="O96" s="6"/>
    </row>
    <row r="97" spans="1:15">
      <c r="A97" s="5">
        <f>A96+1</f>
        <v>60</v>
      </c>
      <c r="B97" s="6">
        <v>45771</v>
      </c>
      <c r="C97" s="5" t="s">
        <v>292</v>
      </c>
      <c r="D97" s="5" t="s">
        <v>60</v>
      </c>
      <c r="E97" s="5" t="s">
        <v>93</v>
      </c>
      <c r="F97" s="7" t="s">
        <v>391</v>
      </c>
      <c r="G97" s="5" t="s">
        <v>296</v>
      </c>
      <c r="H97" s="9" t="str">
        <f>IF(G97="rvt","Sim","Não")</f>
        <v>Não</v>
      </c>
      <c r="I97" s="9" t="str">
        <f>IF(H97="Não","-"," ")</f>
        <v>-</v>
      </c>
      <c r="J97" s="6"/>
      <c r="K97" s="5"/>
      <c r="L97" s="10"/>
      <c r="M97" s="6"/>
      <c r="N97" s="6"/>
      <c r="O97" s="6"/>
    </row>
    <row r="98" spans="1:15">
      <c r="A98" s="5">
        <f>A97+1</f>
        <v>61</v>
      </c>
      <c r="B98" s="6">
        <v>45771</v>
      </c>
      <c r="C98" s="5" t="s">
        <v>292</v>
      </c>
      <c r="D98" s="5" t="s">
        <v>60</v>
      </c>
      <c r="E98" s="5" t="s">
        <v>93</v>
      </c>
      <c r="F98" s="7" t="s">
        <v>392</v>
      </c>
      <c r="G98" s="5" t="s">
        <v>296</v>
      </c>
      <c r="H98" s="9" t="str">
        <f>IF(G98="rvt","Sim","Não")</f>
        <v>Não</v>
      </c>
      <c r="I98" s="9" t="str">
        <f>IF(H98="Não","-"," ")</f>
        <v>-</v>
      </c>
      <c r="J98" s="6"/>
      <c r="K98" s="13"/>
      <c r="L98" s="10"/>
      <c r="M98" s="6"/>
      <c r="N98" s="6"/>
      <c r="O98" s="6"/>
    </row>
    <row r="99" spans="1:15">
      <c r="A99" s="5">
        <f>A98+1</f>
        <v>62</v>
      </c>
      <c r="B99" s="6">
        <v>45771</v>
      </c>
      <c r="C99" s="5" t="s">
        <v>292</v>
      </c>
      <c r="D99" s="5" t="s">
        <v>60</v>
      </c>
      <c r="E99" s="5" t="s">
        <v>93</v>
      </c>
      <c r="F99" s="7" t="s">
        <v>393</v>
      </c>
      <c r="G99" s="5" t="s">
        <v>296</v>
      </c>
      <c r="H99" s="9" t="str">
        <f>IF(G99="rvt","Sim","Não")</f>
        <v>Não</v>
      </c>
      <c r="I99" s="9" t="str">
        <f>IF(H99="Não","-"," ")</f>
        <v>-</v>
      </c>
      <c r="J99" s="6"/>
      <c r="K99" s="5"/>
      <c r="L99" s="10"/>
      <c r="M99" s="6"/>
      <c r="N99" s="6"/>
      <c r="O99" s="6"/>
    </row>
    <row r="100" spans="1:15">
      <c r="A100" s="5">
        <f>A99+1</f>
        <v>63</v>
      </c>
      <c r="B100" s="6">
        <v>45771</v>
      </c>
      <c r="C100" s="5" t="s">
        <v>292</v>
      </c>
      <c r="D100" s="5" t="s">
        <v>60</v>
      </c>
      <c r="E100" s="5" t="s">
        <v>93</v>
      </c>
      <c r="F100" s="7" t="s">
        <v>394</v>
      </c>
      <c r="G100" s="5" t="s">
        <v>296</v>
      </c>
      <c r="H100" s="9" t="str">
        <f>IF(G100="rvt","Sim","Não")</f>
        <v>Não</v>
      </c>
      <c r="I100" s="9" t="str">
        <f>IF(H100="Não","-"," ")</f>
        <v>-</v>
      </c>
      <c r="J100" s="6"/>
      <c r="K100" s="5"/>
      <c r="L100" s="10"/>
      <c r="M100" s="6"/>
      <c r="N100" s="6"/>
      <c r="O100" s="6"/>
    </row>
    <row r="101" spans="1:15">
      <c r="A101" s="5">
        <f>A100+1</f>
        <v>64</v>
      </c>
      <c r="B101" s="6">
        <v>45771</v>
      </c>
      <c r="C101" s="5" t="s">
        <v>292</v>
      </c>
      <c r="D101" s="5" t="s">
        <v>60</v>
      </c>
      <c r="E101" s="5" t="s">
        <v>93</v>
      </c>
      <c r="F101" s="7" t="s">
        <v>395</v>
      </c>
      <c r="G101" s="5" t="s">
        <v>296</v>
      </c>
      <c r="H101" s="9" t="str">
        <f>IF(G101="rvt","Sim","Não")</f>
        <v>Não</v>
      </c>
      <c r="I101" s="9" t="str">
        <f>IF(H101="Não","-"," ")</f>
        <v>-</v>
      </c>
      <c r="J101" s="6"/>
      <c r="K101" s="5"/>
      <c r="L101" s="10"/>
      <c r="M101" s="6"/>
      <c r="N101" s="6"/>
      <c r="O101" s="6"/>
    </row>
    <row r="102" spans="1:15">
      <c r="A102" s="5">
        <f>A101+1</f>
        <v>65</v>
      </c>
      <c r="B102" s="6">
        <v>45771</v>
      </c>
      <c r="C102" s="5" t="s">
        <v>292</v>
      </c>
      <c r="D102" s="5" t="s">
        <v>60</v>
      </c>
      <c r="E102" s="5" t="s">
        <v>93</v>
      </c>
      <c r="F102" s="7" t="s">
        <v>396</v>
      </c>
      <c r="G102" s="5" t="s">
        <v>296</v>
      </c>
      <c r="H102" s="9" t="str">
        <f>IF(G102="rvt","Sim","Não")</f>
        <v>Não</v>
      </c>
      <c r="I102" s="9" t="str">
        <f>IF(H102="Não","-"," ")</f>
        <v>-</v>
      </c>
      <c r="J102" s="6"/>
      <c r="K102" s="5"/>
      <c r="L102" s="10"/>
      <c r="M102" s="6"/>
      <c r="N102" s="6"/>
      <c r="O102" s="6"/>
    </row>
    <row r="103" spans="1:15">
      <c r="A103" s="5">
        <f>A102+1</f>
        <v>66</v>
      </c>
      <c r="B103" s="6">
        <v>45771</v>
      </c>
      <c r="C103" s="5" t="s">
        <v>292</v>
      </c>
      <c r="D103" s="5" t="s">
        <v>60</v>
      </c>
      <c r="E103" s="5" t="s">
        <v>93</v>
      </c>
      <c r="F103" s="7" t="s">
        <v>397</v>
      </c>
      <c r="G103" s="5" t="s">
        <v>296</v>
      </c>
      <c r="H103" s="9" t="str">
        <f>IF(G103="rvt","Sim","Não")</f>
        <v>Não</v>
      </c>
      <c r="I103" s="9" t="str">
        <f>IF(H103="Não","-"," ")</f>
        <v>-</v>
      </c>
      <c r="J103" s="6"/>
      <c r="K103" s="5"/>
      <c r="L103" s="10"/>
      <c r="M103" s="6"/>
      <c r="N103" s="6"/>
      <c r="O103" s="6"/>
    </row>
    <row r="104" spans="1:15">
      <c r="A104" s="5">
        <f>A103+1</f>
        <v>67</v>
      </c>
      <c r="B104" s="6">
        <v>45771</v>
      </c>
      <c r="C104" s="5" t="s">
        <v>292</v>
      </c>
      <c r="D104" s="5" t="s">
        <v>60</v>
      </c>
      <c r="E104" s="5" t="s">
        <v>93</v>
      </c>
      <c r="F104" s="7" t="s">
        <v>398</v>
      </c>
      <c r="G104" s="5" t="s">
        <v>296</v>
      </c>
      <c r="H104" s="9" t="str">
        <f>IF(G104="rvt","Sim","Não")</f>
        <v>Não</v>
      </c>
      <c r="I104" s="9" t="str">
        <f>IF(H104="Não","-"," ")</f>
        <v>-</v>
      </c>
      <c r="J104" s="6"/>
      <c r="K104" s="5"/>
      <c r="L104" s="10"/>
      <c r="M104" s="6"/>
      <c r="N104" s="6"/>
      <c r="O104" s="6"/>
    </row>
    <row r="105" spans="1:15">
      <c r="A105" s="5">
        <f>A104+1</f>
        <v>68</v>
      </c>
      <c r="B105" s="6">
        <v>45771</v>
      </c>
      <c r="C105" s="5" t="s">
        <v>292</v>
      </c>
      <c r="D105" s="5" t="s">
        <v>60</v>
      </c>
      <c r="E105" s="5" t="s">
        <v>93</v>
      </c>
      <c r="F105" s="7" t="s">
        <v>399</v>
      </c>
      <c r="G105" s="5" t="s">
        <v>296</v>
      </c>
      <c r="H105" s="9" t="str">
        <f>IF(G105="rvt","Sim","Não")</f>
        <v>Não</v>
      </c>
      <c r="I105" s="9" t="str">
        <f>IF(H105="Não","-"," ")</f>
        <v>-</v>
      </c>
      <c r="J105" s="6"/>
      <c r="K105" s="5"/>
      <c r="L105" s="10"/>
      <c r="M105" s="6"/>
      <c r="N105" s="6"/>
      <c r="O105" s="6"/>
    </row>
    <row r="106" spans="1:15">
      <c r="A106" s="5">
        <f>A105+1</f>
        <v>69</v>
      </c>
      <c r="B106" s="6">
        <v>45771</v>
      </c>
      <c r="C106" s="5" t="s">
        <v>292</v>
      </c>
      <c r="D106" s="5" t="s">
        <v>60</v>
      </c>
      <c r="E106" s="5" t="s">
        <v>93</v>
      </c>
      <c r="F106" s="7" t="s">
        <v>400</v>
      </c>
      <c r="G106" s="5" t="s">
        <v>296</v>
      </c>
      <c r="H106" s="9" t="str">
        <f>IF(G106="rvt","Sim","Não")</f>
        <v>Não</v>
      </c>
      <c r="I106" s="9" t="str">
        <f>IF(H106="Não","-"," ")</f>
        <v>-</v>
      </c>
      <c r="J106" s="6"/>
      <c r="K106" s="5"/>
      <c r="L106" s="10"/>
      <c r="M106" s="6"/>
      <c r="N106" s="6"/>
      <c r="O106" s="6"/>
    </row>
    <row r="107" spans="1:15">
      <c r="A107" s="5">
        <f>A106+1</f>
        <v>70</v>
      </c>
      <c r="B107" s="6">
        <v>45771</v>
      </c>
      <c r="C107" s="5" t="s">
        <v>292</v>
      </c>
      <c r="D107" s="5" t="s">
        <v>60</v>
      </c>
      <c r="E107" s="5" t="s">
        <v>93</v>
      </c>
      <c r="F107" s="7" t="s">
        <v>401</v>
      </c>
      <c r="G107" s="5" t="s">
        <v>296</v>
      </c>
      <c r="H107" s="9" t="str">
        <f>IF(G107="rvt","Sim","Não")</f>
        <v>Não</v>
      </c>
      <c r="I107" s="9" t="str">
        <f>IF(H107="Não","-"," ")</f>
        <v>-</v>
      </c>
      <c r="J107" s="6"/>
      <c r="K107" s="5"/>
      <c r="L107" s="10"/>
      <c r="M107" s="6"/>
      <c r="N107" s="6"/>
      <c r="O107" s="6"/>
    </row>
    <row r="108" spans="1:15">
      <c r="A108" s="5">
        <f>A107+1</f>
        <v>71</v>
      </c>
      <c r="B108" s="6">
        <v>45771</v>
      </c>
      <c r="C108" s="5" t="s">
        <v>292</v>
      </c>
      <c r="D108" s="5" t="s">
        <v>60</v>
      </c>
      <c r="E108" s="5" t="s">
        <v>93</v>
      </c>
      <c r="F108" s="7" t="s">
        <v>402</v>
      </c>
      <c r="G108" s="5" t="s">
        <v>296</v>
      </c>
      <c r="H108" s="9" t="str">
        <f>IF(G108="rvt","Sim","Não")</f>
        <v>Não</v>
      </c>
      <c r="I108" s="9" t="str">
        <f>IF(H108="Não","-"," ")</f>
        <v>-</v>
      </c>
      <c r="J108" s="6"/>
      <c r="K108" s="5"/>
      <c r="L108" s="10"/>
      <c r="M108" s="6"/>
      <c r="N108" s="6"/>
      <c r="O108" s="6"/>
    </row>
    <row r="109" spans="1:15">
      <c r="A109" s="5">
        <f>A108+1</f>
        <v>72</v>
      </c>
      <c r="B109" s="6">
        <v>45771</v>
      </c>
      <c r="C109" s="5" t="s">
        <v>292</v>
      </c>
      <c r="D109" s="5" t="s">
        <v>60</v>
      </c>
      <c r="E109" s="5" t="s">
        <v>93</v>
      </c>
      <c r="F109" s="7" t="s">
        <v>403</v>
      </c>
      <c r="G109" s="5" t="s">
        <v>296</v>
      </c>
      <c r="H109" s="9" t="str">
        <f>IF(G109="rvt","Sim","Não")</f>
        <v>Não</v>
      </c>
      <c r="I109" s="9" t="str">
        <f>IF(H109="Não","-"," ")</f>
        <v>-</v>
      </c>
      <c r="J109" s="6"/>
      <c r="K109" s="5"/>
      <c r="L109" s="10"/>
      <c r="M109" s="6"/>
      <c r="N109" s="6"/>
      <c r="O109" s="6"/>
    </row>
    <row r="110" spans="1:15">
      <c r="A110" s="5">
        <f>A109+1</f>
        <v>73</v>
      </c>
      <c r="B110" s="6">
        <v>45771</v>
      </c>
      <c r="C110" s="5" t="s">
        <v>292</v>
      </c>
      <c r="D110" s="5" t="s">
        <v>60</v>
      </c>
      <c r="E110" s="5" t="s">
        <v>93</v>
      </c>
      <c r="F110" s="7" t="s">
        <v>404</v>
      </c>
      <c r="G110" s="5" t="s">
        <v>296</v>
      </c>
      <c r="H110" s="9" t="str">
        <f>IF(G110="rvt","Sim","Não")</f>
        <v>Não</v>
      </c>
      <c r="I110" s="9" t="str">
        <f>IF(H110="Não","-"," ")</f>
        <v>-</v>
      </c>
      <c r="J110" s="6"/>
      <c r="K110" s="5"/>
      <c r="L110" s="10"/>
      <c r="M110" s="6"/>
      <c r="N110" s="6"/>
      <c r="O110" s="6"/>
    </row>
    <row r="111" spans="1:15">
      <c r="A111" s="5">
        <f>A110+1</f>
        <v>74</v>
      </c>
      <c r="B111" s="6">
        <v>45771</v>
      </c>
      <c r="C111" s="5" t="s">
        <v>292</v>
      </c>
      <c r="D111" s="5" t="s">
        <v>60</v>
      </c>
      <c r="E111" s="5" t="s">
        <v>93</v>
      </c>
      <c r="F111" s="7" t="s">
        <v>405</v>
      </c>
      <c r="G111" s="5" t="s">
        <v>296</v>
      </c>
      <c r="H111" s="9" t="str">
        <f>IF(G111="rvt","Sim","Não")</f>
        <v>Não</v>
      </c>
      <c r="I111" s="9" t="str">
        <f>IF(H111="Não","-"," ")</f>
        <v>-</v>
      </c>
      <c r="J111" s="6"/>
      <c r="K111" s="5"/>
      <c r="L111" s="10"/>
      <c r="M111" s="6"/>
      <c r="N111" s="6"/>
      <c r="O111" s="6"/>
    </row>
    <row r="112" spans="1:15">
      <c r="A112" s="5">
        <f>A111+1</f>
        <v>75</v>
      </c>
      <c r="B112" s="6">
        <v>45771</v>
      </c>
      <c r="C112" s="5" t="s">
        <v>292</v>
      </c>
      <c r="D112" s="5" t="s">
        <v>60</v>
      </c>
      <c r="E112" s="5" t="s">
        <v>93</v>
      </c>
      <c r="F112" s="7" t="s">
        <v>406</v>
      </c>
      <c r="G112" s="5" t="s">
        <v>296</v>
      </c>
      <c r="H112" s="9" t="str">
        <f>IF(G112="rvt","Sim","Não")</f>
        <v>Não</v>
      </c>
      <c r="I112" s="9" t="str">
        <f>IF(H112="Não","-"," ")</f>
        <v>-</v>
      </c>
      <c r="J112" s="6"/>
      <c r="K112" s="5"/>
      <c r="L112" s="10"/>
      <c r="M112" s="6"/>
      <c r="N112" s="6"/>
      <c r="O112" s="6"/>
    </row>
    <row r="113" spans="1:15">
      <c r="A113" s="5">
        <f>A112+1</f>
        <v>76</v>
      </c>
      <c r="B113" s="6">
        <v>45771</v>
      </c>
      <c r="C113" s="5" t="s">
        <v>292</v>
      </c>
      <c r="D113" s="5" t="s">
        <v>60</v>
      </c>
      <c r="E113" s="5" t="s">
        <v>93</v>
      </c>
      <c r="F113" s="7" t="s">
        <v>407</v>
      </c>
      <c r="G113" s="5" t="s">
        <v>296</v>
      </c>
      <c r="H113" s="9" t="str">
        <f>IF(G113="rvt","Sim","Não")</f>
        <v>Não</v>
      </c>
      <c r="I113" s="9" t="str">
        <f>IF(H113="Não","-"," ")</f>
        <v>-</v>
      </c>
      <c r="J113" s="6"/>
      <c r="K113" s="5"/>
      <c r="L113" s="10"/>
      <c r="M113" s="6"/>
      <c r="N113" s="6"/>
      <c r="O113" s="6"/>
    </row>
    <row r="114" spans="1:15">
      <c r="A114" s="5">
        <f>A113+1</f>
        <v>77</v>
      </c>
      <c r="B114" s="6">
        <v>45771</v>
      </c>
      <c r="C114" s="5" t="s">
        <v>292</v>
      </c>
      <c r="D114" s="5" t="s">
        <v>60</v>
      </c>
      <c r="E114" s="5" t="s">
        <v>93</v>
      </c>
      <c r="F114" s="7" t="s">
        <v>408</v>
      </c>
      <c r="G114" s="5" t="s">
        <v>296</v>
      </c>
      <c r="H114" s="9" t="str">
        <f>IF(G114="rvt","Sim","Não")</f>
        <v>Não</v>
      </c>
      <c r="I114" s="9" t="str">
        <f>IF(H114="Não","-"," ")</f>
        <v>-</v>
      </c>
      <c r="J114" s="6"/>
      <c r="K114" s="5"/>
      <c r="L114" s="10"/>
      <c r="M114" s="6"/>
      <c r="N114" s="6"/>
      <c r="O114" s="6"/>
    </row>
    <row r="115" spans="1:15">
      <c r="A115" s="5">
        <f t="shared" ref="A115:A146" si="0">A114+1</f>
        <v>78</v>
      </c>
      <c r="B115" s="6">
        <v>45771</v>
      </c>
      <c r="C115" s="5" t="s">
        <v>292</v>
      </c>
      <c r="D115" s="5" t="s">
        <v>60</v>
      </c>
      <c r="E115" s="5" t="s">
        <v>93</v>
      </c>
      <c r="F115" s="7" t="s">
        <v>409</v>
      </c>
      <c r="G115" s="5" t="s">
        <v>296</v>
      </c>
      <c r="H115" s="9" t="str">
        <f>IF(G115="rvt","Sim","Não")</f>
        <v>Não</v>
      </c>
      <c r="I115" s="9" t="str">
        <f>IF(H115="Não","-"," ")</f>
        <v>-</v>
      </c>
      <c r="J115" s="6"/>
      <c r="K115" s="13"/>
      <c r="L115" s="10"/>
      <c r="M115" s="6"/>
      <c r="N115" s="6"/>
      <c r="O115" s="6"/>
    </row>
    <row r="116" spans="1:15">
      <c r="A116" s="5">
        <f t="shared" si="0"/>
        <v>79</v>
      </c>
      <c r="B116" s="6">
        <v>45771</v>
      </c>
      <c r="C116" s="5" t="s">
        <v>292</v>
      </c>
      <c r="D116" s="5" t="s">
        <v>60</v>
      </c>
      <c r="E116" s="5" t="s">
        <v>93</v>
      </c>
      <c r="F116" s="7" t="s">
        <v>410</v>
      </c>
      <c r="G116" s="8" t="s">
        <v>294</v>
      </c>
      <c r="H116" s="9" t="str">
        <f>IF(G116="rvt","Sim","Não")</f>
        <v>Sim</v>
      </c>
      <c r="I116" s="9" t="str">
        <f>IF(H116="Não","-"," ")</f>
        <v> </v>
      </c>
      <c r="J116" s="6"/>
      <c r="K116" s="5"/>
      <c r="L116" s="10"/>
      <c r="M116" s="6"/>
      <c r="N116" s="6"/>
      <c r="O116" s="6"/>
    </row>
    <row r="117" spans="1:15">
      <c r="A117" s="5">
        <f t="shared" si="0"/>
        <v>80</v>
      </c>
      <c r="B117" s="5"/>
      <c r="C117" s="5"/>
      <c r="D117" s="5"/>
      <c r="E117" s="5"/>
      <c r="F117" s="7"/>
      <c r="G117" s="8"/>
      <c r="H117" s="9" t="str">
        <f>IF(G117="rvt","Sim","Não")</f>
        <v>Não</v>
      </c>
      <c r="I117" s="9" t="str">
        <f>IF(H117="Não","-"," ")</f>
        <v>-</v>
      </c>
      <c r="J117" s="6"/>
      <c r="K117" s="5"/>
      <c r="L117" s="10"/>
      <c r="M117" s="6"/>
      <c r="N117" s="6"/>
      <c r="O117" s="6"/>
    </row>
    <row r="118" spans="1:15">
      <c r="A118" s="5">
        <f t="shared" si="0"/>
        <v>81</v>
      </c>
      <c r="B118" s="5"/>
      <c r="C118" s="5"/>
      <c r="D118" s="5"/>
      <c r="E118" s="5"/>
      <c r="F118" s="7"/>
      <c r="G118" s="5"/>
      <c r="H118" s="9" t="str">
        <f>IF(G118="rvt","Sim","Não")</f>
        <v>Não</v>
      </c>
      <c r="I118" s="9" t="str">
        <f>IF(H118="Não","-"," ")</f>
        <v>-</v>
      </c>
      <c r="J118" s="6"/>
      <c r="K118" s="5"/>
      <c r="L118" s="10"/>
      <c r="M118" s="6"/>
      <c r="N118" s="6"/>
      <c r="O118" s="6"/>
    </row>
    <row r="119" spans="1:15">
      <c r="A119" s="5">
        <f t="shared" si="0"/>
        <v>82</v>
      </c>
      <c r="B119" s="5"/>
      <c r="C119" s="5"/>
      <c r="D119" s="5"/>
      <c r="E119" s="5"/>
      <c r="F119" s="7"/>
      <c r="G119" s="5"/>
      <c r="H119" s="9" t="str">
        <f>IF(G119="rvt","Sim","Não")</f>
        <v>Não</v>
      </c>
      <c r="I119" s="9" t="str">
        <f>IF(H119="Não","-"," ")</f>
        <v>-</v>
      </c>
      <c r="J119" s="6"/>
      <c r="K119" s="5"/>
      <c r="L119" s="10"/>
      <c r="M119" s="6"/>
      <c r="N119" s="6"/>
      <c r="O119" s="6"/>
    </row>
    <row r="120" spans="1:15">
      <c r="A120" s="5">
        <f t="shared" si="0"/>
        <v>83</v>
      </c>
      <c r="B120" s="5"/>
      <c r="C120" s="5"/>
      <c r="D120" s="5"/>
      <c r="E120" s="5"/>
      <c r="F120" s="7"/>
      <c r="G120" s="5"/>
      <c r="H120" s="9" t="str">
        <f>IF(G120="rvt","Sim","Não")</f>
        <v>Não</v>
      </c>
      <c r="I120" s="9" t="str">
        <f>IF(H120="Não","-"," ")</f>
        <v>-</v>
      </c>
      <c r="J120" s="6"/>
      <c r="K120" s="5"/>
      <c r="L120" s="10"/>
      <c r="M120" s="6"/>
      <c r="N120" s="6"/>
      <c r="O120" s="6"/>
    </row>
    <row r="121" spans="1:15">
      <c r="A121" s="5">
        <f t="shared" si="0"/>
        <v>84</v>
      </c>
      <c r="B121" s="5"/>
      <c r="C121" s="5"/>
      <c r="D121" s="5"/>
      <c r="E121" s="5"/>
      <c r="F121" s="7"/>
      <c r="G121" s="5"/>
      <c r="H121" s="9" t="str">
        <f>IF(G121="rvt","Sim","Não")</f>
        <v>Não</v>
      </c>
      <c r="I121" s="9" t="str">
        <f>IF(H121="Não","-"," ")</f>
        <v>-</v>
      </c>
      <c r="J121" s="6"/>
      <c r="K121" s="5"/>
      <c r="L121" s="10"/>
      <c r="M121" s="6"/>
      <c r="N121" s="6"/>
      <c r="O121" s="6"/>
    </row>
    <row r="122" spans="1:15">
      <c r="A122" s="5">
        <f t="shared" si="0"/>
        <v>85</v>
      </c>
      <c r="B122" s="5"/>
      <c r="C122" s="5"/>
      <c r="D122" s="5"/>
      <c r="E122" s="5"/>
      <c r="F122" s="7"/>
      <c r="G122" s="5"/>
      <c r="H122" s="9" t="str">
        <f>IF(G122="rvt","Sim","Não")</f>
        <v>Não</v>
      </c>
      <c r="I122" s="9" t="str">
        <f>IF(H122="Não","-"," ")</f>
        <v>-</v>
      </c>
      <c r="J122" s="6"/>
      <c r="K122" s="5"/>
      <c r="L122" s="10"/>
      <c r="M122" s="6"/>
      <c r="N122" s="6"/>
      <c r="O122" s="6"/>
    </row>
    <row r="123" spans="1:15">
      <c r="A123" s="5">
        <f t="shared" si="0"/>
        <v>86</v>
      </c>
      <c r="B123" s="5"/>
      <c r="C123" s="5"/>
      <c r="D123" s="5"/>
      <c r="E123" s="5"/>
      <c r="F123" s="7"/>
      <c r="G123" s="5"/>
      <c r="H123" s="9" t="str">
        <f>IF(G123="rvt","Sim","Não")</f>
        <v>Não</v>
      </c>
      <c r="I123" s="9" t="str">
        <f>IF(H123="Não","-"," ")</f>
        <v>-</v>
      </c>
      <c r="J123" s="6"/>
      <c r="K123" s="5"/>
      <c r="L123" s="10"/>
      <c r="M123" s="6"/>
      <c r="N123" s="6"/>
      <c r="O123" s="6"/>
    </row>
    <row r="124" spans="1:15">
      <c r="A124" s="5">
        <f t="shared" si="0"/>
        <v>87</v>
      </c>
      <c r="B124" s="5"/>
      <c r="C124" s="5"/>
      <c r="D124" s="5"/>
      <c r="E124" s="5"/>
      <c r="F124" s="7"/>
      <c r="G124" s="5"/>
      <c r="H124" s="9" t="str">
        <f>IF(G124="rvt","Sim","Não")</f>
        <v>Não</v>
      </c>
      <c r="I124" s="9" t="str">
        <f>IF(H124="Não","-"," ")</f>
        <v>-</v>
      </c>
      <c r="J124" s="6"/>
      <c r="K124" s="5"/>
      <c r="L124" s="10"/>
      <c r="M124" s="6"/>
      <c r="N124" s="6"/>
      <c r="O124" s="6"/>
    </row>
    <row r="125" spans="1:15">
      <c r="A125" s="5">
        <f t="shared" si="0"/>
        <v>88</v>
      </c>
      <c r="B125" s="5"/>
      <c r="C125" s="5"/>
      <c r="D125" s="5"/>
      <c r="E125" s="5"/>
      <c r="F125" s="7"/>
      <c r="G125" s="5"/>
      <c r="H125" s="9" t="str">
        <f>IF(G125="rvt","Sim","Não")</f>
        <v>Não</v>
      </c>
      <c r="I125" s="9" t="str">
        <f>IF(H125="Não","-"," ")</f>
        <v>-</v>
      </c>
      <c r="J125" s="6"/>
      <c r="K125" s="5"/>
      <c r="L125" s="10"/>
      <c r="M125" s="6"/>
      <c r="N125" s="6"/>
      <c r="O125" s="6"/>
    </row>
    <row r="126" spans="1:15">
      <c r="A126" s="5">
        <f t="shared" si="0"/>
        <v>89</v>
      </c>
      <c r="B126" s="5"/>
      <c r="C126" s="5"/>
      <c r="D126" s="5"/>
      <c r="E126" s="5"/>
      <c r="F126" s="7"/>
      <c r="G126" s="5"/>
      <c r="H126" s="9" t="str">
        <f>IF(G126="rvt","Sim","Não")</f>
        <v>Não</v>
      </c>
      <c r="I126" s="9" t="str">
        <f>IF(H126="Não","-"," ")</f>
        <v>-</v>
      </c>
      <c r="J126" s="6"/>
      <c r="K126" s="5"/>
      <c r="L126" s="10"/>
      <c r="M126" s="6"/>
      <c r="N126" s="6"/>
      <c r="O126" s="6"/>
    </row>
    <row r="127" spans="1:15">
      <c r="A127" s="5">
        <f t="shared" si="0"/>
        <v>90</v>
      </c>
      <c r="B127" s="5"/>
      <c r="C127" s="5"/>
      <c r="D127" s="5"/>
      <c r="E127" s="5"/>
      <c r="F127" s="7"/>
      <c r="G127" s="5"/>
      <c r="H127" s="9" t="str">
        <f>IF(G127="rvt","Sim","Não")</f>
        <v>Não</v>
      </c>
      <c r="I127" s="9" t="str">
        <f>IF(H127="Não","-"," ")</f>
        <v>-</v>
      </c>
      <c r="J127" s="6"/>
      <c r="K127" s="13"/>
      <c r="L127" s="10"/>
      <c r="M127" s="6"/>
      <c r="N127" s="6"/>
      <c r="O127" s="6"/>
    </row>
    <row r="128" spans="1:15">
      <c r="A128" s="5">
        <f t="shared" si="0"/>
        <v>91</v>
      </c>
      <c r="B128" s="5"/>
      <c r="C128" s="5"/>
      <c r="D128" s="5"/>
      <c r="E128" s="5"/>
      <c r="F128" s="7"/>
      <c r="G128" s="8"/>
      <c r="H128" s="9" t="str">
        <f>IF(G128="rvt","Sim","Não")</f>
        <v>Não</v>
      </c>
      <c r="I128" s="9" t="str">
        <f>IF(H128="Não","-"," ")</f>
        <v>-</v>
      </c>
      <c r="J128" s="6"/>
      <c r="K128" s="5"/>
      <c r="L128" s="10"/>
      <c r="M128" s="6"/>
      <c r="N128" s="6"/>
      <c r="O128" s="6"/>
    </row>
    <row r="129" spans="1:15">
      <c r="A129" s="5">
        <f t="shared" si="0"/>
        <v>92</v>
      </c>
      <c r="B129" s="5"/>
      <c r="C129" s="5"/>
      <c r="D129" s="5"/>
      <c r="E129" s="5"/>
      <c r="F129" s="7"/>
      <c r="G129" s="8"/>
      <c r="H129" s="9" t="str">
        <f>IF(G129="rvt","Sim","Não")</f>
        <v>Não</v>
      </c>
      <c r="I129" s="9" t="str">
        <f>IF(H129="Não","-"," ")</f>
        <v>-</v>
      </c>
      <c r="J129" s="6"/>
      <c r="K129" s="5"/>
      <c r="L129" s="10"/>
      <c r="M129" s="6"/>
      <c r="N129" s="6"/>
      <c r="O129" s="6"/>
    </row>
    <row r="130" spans="1:15">
      <c r="A130" s="5">
        <f t="shared" si="0"/>
        <v>93</v>
      </c>
      <c r="B130" s="5"/>
      <c r="C130" s="5"/>
      <c r="D130" s="5"/>
      <c r="E130" s="5"/>
      <c r="F130" s="7"/>
      <c r="G130" s="5"/>
      <c r="H130" s="9" t="str">
        <f>IF(G130="rvt","Sim","Não")</f>
        <v>Não</v>
      </c>
      <c r="I130" s="9" t="str">
        <f>IF(H130="Não","-"," ")</f>
        <v>-</v>
      </c>
      <c r="J130" s="6"/>
      <c r="K130" s="5"/>
      <c r="L130" s="10"/>
      <c r="M130" s="6"/>
      <c r="N130" s="6"/>
      <c r="O130" s="6"/>
    </row>
    <row r="131" spans="1:15">
      <c r="A131" s="5">
        <f t="shared" si="0"/>
        <v>94</v>
      </c>
      <c r="B131" s="5"/>
      <c r="C131" s="5"/>
      <c r="D131" s="5"/>
      <c r="E131" s="5"/>
      <c r="F131" s="7"/>
      <c r="G131" s="5"/>
      <c r="H131" s="9" t="str">
        <f>IF(G131="rvt","Sim","Não")</f>
        <v>Não</v>
      </c>
      <c r="I131" s="9" t="str">
        <f>IF(H131="Não","-"," ")</f>
        <v>-</v>
      </c>
      <c r="J131" s="6"/>
      <c r="K131" s="5"/>
      <c r="L131" s="10"/>
      <c r="M131" s="6"/>
      <c r="N131" s="6"/>
      <c r="O131" s="6"/>
    </row>
    <row r="132" spans="1:15">
      <c r="A132" s="5">
        <f t="shared" si="0"/>
        <v>95</v>
      </c>
      <c r="B132" s="5"/>
      <c r="C132" s="5"/>
      <c r="D132" s="5"/>
      <c r="E132" s="5"/>
      <c r="F132" s="7"/>
      <c r="G132" s="5"/>
      <c r="H132" s="9" t="str">
        <f>IF(G132="rvt","Sim","Não")</f>
        <v>Não</v>
      </c>
      <c r="I132" s="9" t="str">
        <f>IF(H132="Não","-"," ")</f>
        <v>-</v>
      </c>
      <c r="J132" s="6"/>
      <c r="K132" s="5"/>
      <c r="L132" s="10"/>
      <c r="M132" s="6"/>
      <c r="N132" s="6"/>
      <c r="O132" s="6"/>
    </row>
    <row r="133" spans="1:15">
      <c r="A133" s="5">
        <f t="shared" si="0"/>
        <v>96</v>
      </c>
      <c r="B133" s="5"/>
      <c r="C133" s="5"/>
      <c r="D133" s="5"/>
      <c r="E133" s="5"/>
      <c r="F133" s="7"/>
      <c r="G133" s="5"/>
      <c r="H133" s="9" t="str">
        <f>IF(G133="rvt","Sim","Não")</f>
        <v>Não</v>
      </c>
      <c r="I133" s="9" t="str">
        <f>IF(H133="Não","-"," ")</f>
        <v>-</v>
      </c>
      <c r="J133" s="6"/>
      <c r="K133" s="5"/>
      <c r="L133" s="10"/>
      <c r="M133" s="6"/>
      <c r="N133" s="6"/>
      <c r="O133" s="6"/>
    </row>
    <row r="134" spans="1:15">
      <c r="A134" s="5">
        <f t="shared" si="0"/>
        <v>97</v>
      </c>
      <c r="B134" s="5"/>
      <c r="C134" s="5"/>
      <c r="D134" s="5"/>
      <c r="E134" s="5"/>
      <c r="F134" s="7"/>
      <c r="G134" s="5"/>
      <c r="H134" s="9" t="str">
        <f>IF(G134="rvt","Sim","Não")</f>
        <v>Não</v>
      </c>
      <c r="I134" s="9" t="str">
        <f>IF(H134="Não","-"," ")</f>
        <v>-</v>
      </c>
      <c r="J134" s="6"/>
      <c r="K134" s="5"/>
      <c r="L134" s="10"/>
      <c r="M134" s="6"/>
      <c r="N134" s="6"/>
      <c r="O134" s="6"/>
    </row>
    <row r="135" spans="1:15">
      <c r="A135" s="5">
        <f t="shared" si="0"/>
        <v>98</v>
      </c>
      <c r="B135" s="5"/>
      <c r="C135" s="5"/>
      <c r="D135" s="5"/>
      <c r="E135" s="5"/>
      <c r="F135" s="7"/>
      <c r="G135" s="5"/>
      <c r="H135" s="9" t="str">
        <f>IF(G135="rvt","Sim","Não")</f>
        <v>Não</v>
      </c>
      <c r="I135" s="9" t="str">
        <f>IF(H135="Não","-"," ")</f>
        <v>-</v>
      </c>
      <c r="J135" s="6"/>
      <c r="K135" s="5"/>
      <c r="L135" s="10"/>
      <c r="M135" s="6"/>
      <c r="N135" s="6"/>
      <c r="O135" s="6"/>
    </row>
    <row r="136" spans="1:15">
      <c r="A136" s="5">
        <f t="shared" si="0"/>
        <v>99</v>
      </c>
      <c r="B136" s="5"/>
      <c r="C136" s="5"/>
      <c r="D136" s="5"/>
      <c r="E136" s="5"/>
      <c r="F136" s="7"/>
      <c r="G136" s="5"/>
      <c r="H136" s="9" t="str">
        <f>IF(G136="rvt","Sim","Não")</f>
        <v>Não</v>
      </c>
      <c r="I136" s="9" t="str">
        <f>IF(H136="Não","-"," ")</f>
        <v>-</v>
      </c>
      <c r="J136" s="6"/>
      <c r="K136" s="5"/>
      <c r="L136" s="10"/>
      <c r="M136" s="6"/>
      <c r="N136" s="6"/>
      <c r="O136" s="6"/>
    </row>
    <row r="137" spans="1:15">
      <c r="A137" s="5">
        <f t="shared" si="0"/>
        <v>100</v>
      </c>
      <c r="B137" s="5"/>
      <c r="C137" s="5"/>
      <c r="D137" s="5"/>
      <c r="E137" s="5"/>
      <c r="F137" s="7"/>
      <c r="G137" s="5"/>
      <c r="H137" s="9" t="str">
        <f>IF(G137="rvt","Sim","Não")</f>
        <v>Não</v>
      </c>
      <c r="I137" s="9" t="str">
        <f>IF(H137="Não","-"," ")</f>
        <v>-</v>
      </c>
      <c r="J137" s="6"/>
      <c r="K137" s="5"/>
      <c r="L137" s="10"/>
      <c r="M137" s="6"/>
      <c r="N137" s="6"/>
      <c r="O137" s="6"/>
    </row>
    <row r="138" spans="1:15">
      <c r="A138" s="5">
        <f t="shared" si="0"/>
        <v>101</v>
      </c>
      <c r="B138" s="5"/>
      <c r="C138" s="5"/>
      <c r="D138" s="5"/>
      <c r="E138" s="5"/>
      <c r="F138" s="7"/>
      <c r="G138" s="5"/>
      <c r="H138" s="9" t="str">
        <f>IF(G138="rvt","Sim","Não")</f>
        <v>Não</v>
      </c>
      <c r="I138" s="9" t="str">
        <f>IF(H138="Não","-"," ")</f>
        <v>-</v>
      </c>
      <c r="J138" s="6"/>
      <c r="K138" s="5"/>
      <c r="L138" s="10"/>
      <c r="M138" s="6"/>
      <c r="N138" s="6"/>
      <c r="O138" s="6"/>
    </row>
    <row r="139" spans="1:15">
      <c r="A139" s="5">
        <f t="shared" si="0"/>
        <v>102</v>
      </c>
      <c r="B139" s="5"/>
      <c r="C139" s="5"/>
      <c r="D139" s="5"/>
      <c r="E139" s="5"/>
      <c r="F139" s="7"/>
      <c r="G139" s="5"/>
      <c r="H139" s="9" t="str">
        <f>IF(G139="rvt","Sim","Não")</f>
        <v>Não</v>
      </c>
      <c r="I139" s="9" t="str">
        <f>IF(H139="Não","-"," ")</f>
        <v>-</v>
      </c>
      <c r="J139" s="6"/>
      <c r="K139" s="5"/>
      <c r="L139" s="10"/>
      <c r="M139" s="6"/>
      <c r="N139" s="6"/>
      <c r="O139" s="6"/>
    </row>
    <row r="140" spans="1:15">
      <c r="A140" s="5">
        <f t="shared" si="0"/>
        <v>103</v>
      </c>
      <c r="B140" s="5"/>
      <c r="C140" s="5"/>
      <c r="D140" s="5"/>
      <c r="E140" s="5"/>
      <c r="F140" s="7"/>
      <c r="G140" s="5"/>
      <c r="H140" s="9" t="str">
        <f>IF(G140="rvt","Sim","Não")</f>
        <v>Não</v>
      </c>
      <c r="I140" s="9" t="str">
        <f>IF(H140="Não","-"," ")</f>
        <v>-</v>
      </c>
      <c r="J140" s="6"/>
      <c r="K140" s="13"/>
      <c r="L140" s="10"/>
      <c r="M140" s="6"/>
      <c r="N140" s="6"/>
      <c r="O140" s="6"/>
    </row>
    <row r="141" spans="1:15">
      <c r="A141" s="5">
        <f t="shared" si="0"/>
        <v>104</v>
      </c>
      <c r="B141" s="5"/>
      <c r="C141" s="5"/>
      <c r="D141" s="5"/>
      <c r="E141" s="5"/>
      <c r="F141" s="7"/>
      <c r="G141" s="8"/>
      <c r="H141" s="9" t="str">
        <f>IF(G141="rvt","Sim","Não")</f>
        <v>Não</v>
      </c>
      <c r="I141" s="9" t="str">
        <f>IF(H141="Não","-"," ")</f>
        <v>-</v>
      </c>
      <c r="J141" s="6"/>
      <c r="K141" s="5"/>
      <c r="L141" s="10"/>
      <c r="M141" s="6"/>
      <c r="N141" s="6"/>
      <c r="O141" s="6"/>
    </row>
    <row r="142" spans="1:15">
      <c r="A142" s="5">
        <f t="shared" si="0"/>
        <v>105</v>
      </c>
      <c r="B142" s="5"/>
      <c r="C142" s="5"/>
      <c r="D142" s="5"/>
      <c r="E142" s="5"/>
      <c r="F142" s="7"/>
      <c r="G142" s="8"/>
      <c r="H142" s="9" t="str">
        <f>IF(G142="rvt","Sim","Não")</f>
        <v>Não</v>
      </c>
      <c r="I142" s="9" t="str">
        <f>IF(H142="Não","-"," ")</f>
        <v>-</v>
      </c>
      <c r="J142" s="6"/>
      <c r="K142" s="5"/>
      <c r="L142" s="10"/>
      <c r="M142" s="6"/>
      <c r="N142" s="6"/>
      <c r="O142" s="6"/>
    </row>
    <row r="143" spans="1:15">
      <c r="A143" s="5">
        <f t="shared" si="0"/>
        <v>106</v>
      </c>
      <c r="B143" s="5"/>
      <c r="C143" s="5"/>
      <c r="D143" s="5"/>
      <c r="E143" s="5"/>
      <c r="F143" s="7"/>
      <c r="G143" s="8"/>
      <c r="H143" s="9" t="str">
        <f>IF(G143="rvt","Sim","Não")</f>
        <v>Não</v>
      </c>
      <c r="I143" s="9" t="str">
        <f>IF(H143="Não","-"," ")</f>
        <v>-</v>
      </c>
      <c r="J143" s="6"/>
      <c r="K143" s="5"/>
      <c r="L143" s="10"/>
      <c r="M143" s="6"/>
      <c r="N143" s="6"/>
      <c r="O143" s="6"/>
    </row>
    <row r="144" spans="1:15">
      <c r="A144" s="5">
        <f t="shared" si="0"/>
        <v>107</v>
      </c>
      <c r="B144" s="5"/>
      <c r="C144" s="5"/>
      <c r="D144" s="14"/>
      <c r="E144" s="15"/>
      <c r="F144" s="16"/>
      <c r="G144" s="15"/>
      <c r="H144" s="17" t="str">
        <f>IF(G144="rvt","Sim","Não")</f>
        <v>Não</v>
      </c>
      <c r="I144" s="9" t="str">
        <f>IF(H144="Não","-"," ")</f>
        <v>-</v>
      </c>
      <c r="J144" s="6"/>
      <c r="K144" s="5"/>
      <c r="L144" s="16"/>
      <c r="M144" s="20"/>
      <c r="N144" s="21"/>
      <c r="O144" s="21"/>
    </row>
    <row r="145" spans="1:15">
      <c r="A145" s="5">
        <f t="shared" si="0"/>
        <v>108</v>
      </c>
      <c r="B145" s="5"/>
      <c r="C145" s="5"/>
      <c r="D145" s="5"/>
      <c r="E145" s="5"/>
      <c r="F145" s="7"/>
      <c r="G145" s="5"/>
      <c r="H145" s="9" t="str">
        <f>IF(G145="rvt","Sim","Não")</f>
        <v>Não</v>
      </c>
      <c r="I145" s="9" t="str">
        <f>IF(H145="Não","-"," ")</f>
        <v>-</v>
      </c>
      <c r="J145" s="6"/>
      <c r="K145" s="5"/>
      <c r="L145" s="7"/>
      <c r="M145" s="22"/>
      <c r="N145" s="6"/>
      <c r="O145" s="6"/>
    </row>
    <row r="146" spans="1:15">
      <c r="A146" s="5">
        <f t="shared" si="0"/>
        <v>109</v>
      </c>
      <c r="B146" s="5"/>
      <c r="C146" s="5"/>
      <c r="D146" s="5"/>
      <c r="E146" s="5"/>
      <c r="F146" s="7"/>
      <c r="G146" s="5"/>
      <c r="H146" s="9" t="str">
        <f>IF(G146="rvt","Sim","Não")</f>
        <v>Não</v>
      </c>
      <c r="I146" s="9" t="str">
        <f>IF(H146="Não","-"," ")</f>
        <v>-</v>
      </c>
      <c r="J146" s="6"/>
      <c r="K146" s="5"/>
      <c r="L146" s="7"/>
      <c r="M146" s="22"/>
      <c r="N146" s="6"/>
      <c r="O146" s="6"/>
    </row>
    <row r="147" spans="1:15">
      <c r="A147" s="5">
        <f t="shared" ref="A147:A169" si="1">A146+1</f>
        <v>110</v>
      </c>
      <c r="B147" s="5"/>
      <c r="C147" s="5"/>
      <c r="D147" s="5"/>
      <c r="E147" s="5"/>
      <c r="F147" s="7"/>
      <c r="G147" s="5"/>
      <c r="H147" s="9" t="str">
        <f>IF(G147="rvt","Sim","Não")</f>
        <v>Não</v>
      </c>
      <c r="I147" s="9" t="str">
        <f>IF(H147="Não","-"," ")</f>
        <v>-</v>
      </c>
      <c r="J147" s="6"/>
      <c r="K147" s="5"/>
      <c r="L147" s="7"/>
      <c r="M147" s="22"/>
      <c r="N147" s="6"/>
      <c r="O147" s="6"/>
    </row>
    <row r="148" spans="1:15">
      <c r="A148" s="5">
        <f t="shared" si="1"/>
        <v>111</v>
      </c>
      <c r="B148" s="5"/>
      <c r="C148" s="5"/>
      <c r="D148" s="5"/>
      <c r="E148" s="5"/>
      <c r="F148" s="7"/>
      <c r="G148" s="5"/>
      <c r="H148" s="9" t="str">
        <f>IF(G148="rvt","Sim","Não")</f>
        <v>Não</v>
      </c>
      <c r="I148" s="9" t="str">
        <f>IF(H148="Não","-"," ")</f>
        <v>-</v>
      </c>
      <c r="J148" s="6"/>
      <c r="K148" s="5"/>
      <c r="L148" s="7"/>
      <c r="M148" s="22"/>
      <c r="N148" s="6"/>
      <c r="O148" s="6"/>
    </row>
    <row r="149" spans="1:15">
      <c r="A149" s="5">
        <f t="shared" si="1"/>
        <v>112</v>
      </c>
      <c r="B149" s="5"/>
      <c r="C149" s="5"/>
      <c r="D149" s="5"/>
      <c r="E149" s="5"/>
      <c r="F149" s="7"/>
      <c r="G149" s="5"/>
      <c r="H149" s="9" t="str">
        <f>IF(G149="rvt","Sim","Não")</f>
        <v>Não</v>
      </c>
      <c r="I149" s="9" t="str">
        <f>IF(H149="Não","-"," ")</f>
        <v>-</v>
      </c>
      <c r="J149" s="6"/>
      <c r="K149" s="5"/>
      <c r="L149" s="7"/>
      <c r="M149" s="22"/>
      <c r="N149" s="6"/>
      <c r="O149" s="6"/>
    </row>
    <row r="150" spans="1:15">
      <c r="A150" s="5">
        <f t="shared" si="1"/>
        <v>113</v>
      </c>
      <c r="B150" s="5"/>
      <c r="C150" s="5"/>
      <c r="D150" s="5"/>
      <c r="E150" s="5"/>
      <c r="F150" s="7"/>
      <c r="G150" s="5"/>
      <c r="H150" s="9" t="str">
        <f>IF(G150="rvt","Sim","Não")</f>
        <v>Não</v>
      </c>
      <c r="I150" s="9" t="str">
        <f>IF(H150="Não","-"," ")</f>
        <v>-</v>
      </c>
      <c r="J150" s="6"/>
      <c r="K150" s="5"/>
      <c r="L150" s="7"/>
      <c r="M150" s="22"/>
      <c r="N150" s="6"/>
      <c r="O150" s="6"/>
    </row>
    <row r="151" spans="1:15">
      <c r="A151" s="5">
        <f t="shared" si="1"/>
        <v>114</v>
      </c>
      <c r="B151" s="5"/>
      <c r="C151" s="5"/>
      <c r="D151" s="5"/>
      <c r="E151" s="5"/>
      <c r="F151" s="7"/>
      <c r="G151" s="5"/>
      <c r="H151" s="9" t="str">
        <f>IF(G151="rvt","Sim","Não")</f>
        <v>Não</v>
      </c>
      <c r="I151" s="9" t="str">
        <f>IF(H151="Não","-"," ")</f>
        <v>-</v>
      </c>
      <c r="J151" s="6"/>
      <c r="K151" s="5"/>
      <c r="L151" s="7"/>
      <c r="M151" s="22"/>
      <c r="N151" s="6"/>
      <c r="O151" s="6"/>
    </row>
    <row r="152" spans="1:9">
      <c r="A152" s="5">
        <f t="shared" si="1"/>
        <v>115</v>
      </c>
      <c r="F152" s="18"/>
      <c r="G152" s="1"/>
      <c r="H152" s="19" t="str">
        <f>IF(G152="rvt","Sim","Não")</f>
        <v>Não</v>
      </c>
      <c r="I152" s="23" t="str">
        <f>IF(H152="Não","-"," ")</f>
        <v>-</v>
      </c>
    </row>
    <row r="153" spans="1:9">
      <c r="A153" s="5">
        <f t="shared" si="1"/>
        <v>116</v>
      </c>
      <c r="F153" s="18"/>
      <c r="G153" s="1"/>
      <c r="H153" s="19" t="str">
        <f>IF(G153="rvt","Sim","Não")</f>
        <v>Não</v>
      </c>
      <c r="I153" s="23" t="str">
        <f>IF(H153="Não","-"," ")</f>
        <v>-</v>
      </c>
    </row>
    <row r="154" spans="1:9">
      <c r="A154" s="5">
        <f t="shared" si="1"/>
        <v>117</v>
      </c>
      <c r="F154" s="18"/>
      <c r="G154" s="1"/>
      <c r="H154" s="19" t="str">
        <f>IF(G154="rvt","Sim","Não")</f>
        <v>Não</v>
      </c>
      <c r="I154" s="23" t="str">
        <f>IF(H154="Não","-"," ")</f>
        <v>-</v>
      </c>
    </row>
    <row r="155" spans="1:9">
      <c r="A155" s="5">
        <f t="shared" si="1"/>
        <v>118</v>
      </c>
      <c r="F155" s="18"/>
      <c r="G155" s="1"/>
      <c r="H155" s="19" t="str">
        <f>IF(G155="rvt","Sim","Não")</f>
        <v>Não</v>
      </c>
      <c r="I155" s="23" t="str">
        <f>IF(H155="Não","-"," ")</f>
        <v>-</v>
      </c>
    </row>
    <row r="156" spans="1:9">
      <c r="A156" s="5">
        <f t="shared" si="1"/>
        <v>119</v>
      </c>
      <c r="F156" s="18"/>
      <c r="G156" s="1"/>
      <c r="H156" s="19" t="str">
        <f>IF(G156="rvt","Sim","Não")</f>
        <v>Não</v>
      </c>
      <c r="I156" s="23" t="str">
        <f>IF(H156="Não","-"," ")</f>
        <v>-</v>
      </c>
    </row>
    <row r="157" spans="1:9">
      <c r="A157" s="5">
        <f t="shared" si="1"/>
        <v>120</v>
      </c>
      <c r="F157" s="18"/>
      <c r="G157" s="1"/>
      <c r="H157" s="19" t="str">
        <f>IF(G157="rvt","Sim","Não")</f>
        <v>Não</v>
      </c>
      <c r="I157" s="23" t="str">
        <f>IF(H157="Não","-"," ")</f>
        <v>-</v>
      </c>
    </row>
    <row r="158" spans="1:9">
      <c r="A158" s="5">
        <f t="shared" si="1"/>
        <v>121</v>
      </c>
      <c r="F158" s="18"/>
      <c r="G158" s="1"/>
      <c r="H158" s="19" t="str">
        <f>IF(G158="rvt","Sim","Não")</f>
        <v>Não</v>
      </c>
      <c r="I158" s="23" t="str">
        <f>IF(H158="Não","-"," ")</f>
        <v>-</v>
      </c>
    </row>
    <row r="159" spans="1:9">
      <c r="A159" s="5">
        <f t="shared" si="1"/>
        <v>122</v>
      </c>
      <c r="F159" s="18"/>
      <c r="G159" s="1"/>
      <c r="H159" s="19" t="str">
        <f>IF(G159="rvt","Sim","Não")</f>
        <v>Não</v>
      </c>
      <c r="I159" s="23" t="str">
        <f>IF(H159="Não","-"," ")</f>
        <v>-</v>
      </c>
    </row>
    <row r="160" spans="1:9">
      <c r="A160" s="5">
        <f t="shared" si="1"/>
        <v>123</v>
      </c>
      <c r="F160" s="18"/>
      <c r="G160" s="1"/>
      <c r="H160" s="19" t="str">
        <f>IF(G160="rvt","Sim","Não")</f>
        <v>Não</v>
      </c>
      <c r="I160" s="23" t="str">
        <f>IF(H160="Não","-"," ")</f>
        <v>-</v>
      </c>
    </row>
    <row r="161" spans="1:9">
      <c r="A161" s="5">
        <f t="shared" si="1"/>
        <v>124</v>
      </c>
      <c r="F161" s="18"/>
      <c r="G161" s="1"/>
      <c r="H161" s="19" t="str">
        <f>IF(G161="rvt","Sim","Não")</f>
        <v>Não</v>
      </c>
      <c r="I161" s="23" t="str">
        <f>IF(H161="Não","-"," ")</f>
        <v>-</v>
      </c>
    </row>
    <row r="162" spans="1:9">
      <c r="A162" s="5">
        <f t="shared" si="1"/>
        <v>125</v>
      </c>
      <c r="F162" s="18"/>
      <c r="G162" s="1"/>
      <c r="H162" s="19" t="str">
        <f>IF(G162="rvt","Sim","Não")</f>
        <v>Não</v>
      </c>
      <c r="I162" s="23" t="str">
        <f>IF(H162="Não","-"," ")</f>
        <v>-</v>
      </c>
    </row>
    <row r="163" spans="1:9">
      <c r="A163" s="5">
        <f t="shared" si="1"/>
        <v>126</v>
      </c>
      <c r="F163" s="18"/>
      <c r="G163" s="1"/>
      <c r="H163" s="19" t="str">
        <f>IF(G163="rvt","Sim","Não")</f>
        <v>Não</v>
      </c>
      <c r="I163" s="23" t="str">
        <f>IF(H163="Não","-"," ")</f>
        <v>-</v>
      </c>
    </row>
    <row r="164" spans="1:9">
      <c r="A164" s="5">
        <f t="shared" si="1"/>
        <v>127</v>
      </c>
      <c r="F164" s="18"/>
      <c r="G164" s="1"/>
      <c r="H164" s="19" t="str">
        <f>IF(G164="rvt","Sim","Não")</f>
        <v>Não</v>
      </c>
      <c r="I164" s="23" t="str">
        <f>IF(H164="Não","-"," ")</f>
        <v>-</v>
      </c>
    </row>
    <row r="165" spans="1:9">
      <c r="A165" s="5">
        <f t="shared" si="1"/>
        <v>128</v>
      </c>
      <c r="F165" s="18"/>
      <c r="G165" s="1"/>
      <c r="H165" s="19" t="str">
        <f>IF(G165="rvt","Sim","Não")</f>
        <v>Não</v>
      </c>
      <c r="I165" s="23" t="str">
        <f>IF(H165="Não","-"," ")</f>
        <v>-</v>
      </c>
    </row>
    <row r="166" spans="1:9">
      <c r="A166" s="5">
        <f t="shared" si="1"/>
        <v>129</v>
      </c>
      <c r="F166" s="18"/>
      <c r="G166" s="1"/>
      <c r="H166" s="19" t="str">
        <f>IF(G166="rvt","Sim","Não")</f>
        <v>Não</v>
      </c>
      <c r="I166" s="23" t="str">
        <f>IF(H166="Não","-"," ")</f>
        <v>-</v>
      </c>
    </row>
    <row r="167" spans="1:9">
      <c r="A167" s="5">
        <f t="shared" si="1"/>
        <v>130</v>
      </c>
      <c r="F167" s="18"/>
      <c r="G167" s="1"/>
      <c r="H167" s="19" t="str">
        <f>IF(G167="rvt","Sim","Não")</f>
        <v>Não</v>
      </c>
      <c r="I167" s="23" t="str">
        <f>IF(H167="Não","-"," ")</f>
        <v>-</v>
      </c>
    </row>
    <row r="168" spans="1:9">
      <c r="A168" s="5">
        <f t="shared" si="1"/>
        <v>131</v>
      </c>
      <c r="F168" s="18"/>
      <c r="G168" s="1"/>
      <c r="H168" s="19" t="str">
        <f>IF(G168="rvt","Sim","Não")</f>
        <v>Não</v>
      </c>
      <c r="I168" s="23" t="str">
        <f>IF(H168="Não","-"," ")</f>
        <v>-</v>
      </c>
    </row>
    <row r="169" spans="1:9">
      <c r="A169" s="5">
        <f t="shared" si="1"/>
        <v>132</v>
      </c>
      <c r="F169" s="18"/>
      <c r="G169" s="1"/>
      <c r="H169" s="19" t="str">
        <f>IF(G169="rvt","Sim","Não")</f>
        <v>Não</v>
      </c>
      <c r="I169" s="23" t="str">
        <f>IF(H169="Não","-"," ")</f>
        <v>-</v>
      </c>
    </row>
  </sheetData>
  <conditionalFormatting sqref="I$1:I$1048576">
    <cfRule type="containsText" dxfId="23" priority="1" operator="between" text="-">
      <formula>NOT(ISERROR(SEARCH("-",I1)))</formula>
    </cfRule>
  </conditionalFormatting>
  <conditionalFormatting sqref="I3:I151">
    <cfRule type="containsText" dxfId="14" priority="3" operator="between" text="PENDENTE">
      <formula>NOT(ISERROR(SEARCH("PENDENTE",I3)))</formula>
    </cfRule>
    <cfRule type="containsText" dxfId="15" priority="4" operator="between" text="LIBERADO">
      <formula>NOT(ISERROR(SEARCH("LIBERADO",I3)))</formula>
    </cfRule>
  </conditionalFormatting>
  <conditionalFormatting sqref="L2:L38;N2:O38;L39:O151;H99:H100">
    <cfRule type="cellIs" dxfId="16" priority="2" operator="equal">
      <formula>"-"</formula>
    </cfRule>
  </conditionalFormatting>
  <conditionalFormatting sqref="K52;K140;K127;K115;K98;K81">
    <cfRule type="cellIs" dxfId="17" priority="5" operator="equal">
      <formula>"Não"</formula>
    </cfRule>
    <cfRule type="cellIs" dxfId="18" priority="6" operator="equal">
      <formula>"Sim"</formula>
    </cfRule>
  </conditionalFormatting>
  <pageMargins left="0.511811024" right="0.511811024" top="0.787401575" bottom="0.787401575" header="0.31496062" footer="0.31496062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Mapeamento Modelos As Built</vt:lpstr>
      <vt:lpstr>Mapeamento Entregas Ocle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Vianna Küster</dc:creator>
  <cp:lastModifiedBy>WPS_1769552849</cp:lastModifiedBy>
  <dcterms:created xsi:type="dcterms:W3CDTF">2026-03-12T18:38:00Z</dcterms:created>
  <dcterms:modified xsi:type="dcterms:W3CDTF">2026-03-13T00:36:01Z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F36878A1C38542AD9734266981399615_13</vt:lpwstr>
  </property>
  <property fmtid="{D5CDD505-2E9C-101B-9397-08002B2CF9AE}" pid="3" name="KSOProductBuildVer">
    <vt:lpwstr>1033-12.2.0.23197</vt:lpwstr>
  </property>
</Properties>
</file>